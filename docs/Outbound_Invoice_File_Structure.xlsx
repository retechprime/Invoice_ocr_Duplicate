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RTP\AI Work\Invoice_AI_Sample_Invoices\"/>
    </mc:Choice>
  </mc:AlternateContent>
  <xr:revisionPtr revIDLastSave="0" documentId="13_ncr:1_{D158614B-B13F-4188-8D44-BB5DB0D25417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Read Me" sheetId="1" r:id="rId1"/>
    <sheet name="Record Summary" sheetId="2" r:id="rId2"/>
    <sheet name="FHEAD" sheetId="3" r:id="rId3"/>
    <sheet name="THEAD" sheetId="4" r:id="rId4"/>
    <sheet name="TDETL" sheetId="5" r:id="rId5"/>
    <sheet name="TALLW(Not required)" sheetId="6" r:id="rId6"/>
    <sheet name="TNMRC" sheetId="7" r:id="rId7"/>
    <sheet name="TVATS" sheetId="8" r:id="rId8"/>
    <sheet name="TTAIL" sheetId="9" r:id="rId9"/>
    <sheet name="FTAIL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8" i="10" l="1"/>
  <c r="D4" i="10"/>
  <c r="C5" i="10" s="1"/>
  <c r="D5" i="10" s="1"/>
  <c r="C6" i="10" s="1"/>
  <c r="D6" i="10" s="1"/>
  <c r="E10" i="9"/>
  <c r="E10" i="2" s="1"/>
  <c r="D5" i="9"/>
  <c r="C6" i="9" s="1"/>
  <c r="D6" i="9" s="1"/>
  <c r="C7" i="9" s="1"/>
  <c r="D7" i="9" s="1"/>
  <c r="C8" i="9" s="1"/>
  <c r="D8" i="9" s="1"/>
  <c r="E12" i="8"/>
  <c r="D4" i="8"/>
  <c r="C5" i="8" s="1"/>
  <c r="D5" i="8" s="1"/>
  <c r="C6" i="8" s="1"/>
  <c r="D6" i="8" s="1"/>
  <c r="C7" i="8" s="1"/>
  <c r="D7" i="8" s="1"/>
  <c r="C8" i="8" s="1"/>
  <c r="D8" i="8" s="1"/>
  <c r="C9" i="8" s="1"/>
  <c r="D9" i="8" s="1"/>
  <c r="C10" i="8" s="1"/>
  <c r="D10" i="8" s="1"/>
  <c r="E15" i="7"/>
  <c r="D4" i="7"/>
  <c r="C5" i="7" s="1"/>
  <c r="D5" i="7" s="1"/>
  <c r="C6" i="7" s="1"/>
  <c r="D6" i="7" s="1"/>
  <c r="C7" i="7" s="1"/>
  <c r="D7" i="7" s="1"/>
  <c r="C8" i="7" s="1"/>
  <c r="D8" i="7" s="1"/>
  <c r="C9" i="7" s="1"/>
  <c r="D9" i="7" s="1"/>
  <c r="C10" i="7" s="1"/>
  <c r="D10" i="7" s="1"/>
  <c r="C11" i="7" s="1"/>
  <c r="D11" i="7" s="1"/>
  <c r="C12" i="7" s="1"/>
  <c r="D12" i="7" s="1"/>
  <c r="C13" i="7" s="1"/>
  <c r="D13" i="7" s="1"/>
  <c r="E13" i="6"/>
  <c r="D4" i="6"/>
  <c r="C5" i="6" s="1"/>
  <c r="D5" i="6" s="1"/>
  <c r="C6" i="6" s="1"/>
  <c r="D6" i="6" s="1"/>
  <c r="C7" i="6" s="1"/>
  <c r="D7" i="6" s="1"/>
  <c r="C8" i="6" s="1"/>
  <c r="D8" i="6" s="1"/>
  <c r="C9" i="6" s="1"/>
  <c r="D9" i="6" s="1"/>
  <c r="C10" i="6" s="1"/>
  <c r="D10" i="6" s="1"/>
  <c r="C11" i="6" s="1"/>
  <c r="D11" i="6" s="1"/>
  <c r="E20" i="5"/>
  <c r="E6" i="2" s="1"/>
  <c r="D4" i="5"/>
  <c r="C5" i="5" s="1"/>
  <c r="D5" i="5" s="1"/>
  <c r="C6" i="5" s="1"/>
  <c r="D6" i="5" s="1"/>
  <c r="C7" i="5" s="1"/>
  <c r="D7" i="5" s="1"/>
  <c r="C8" i="5" s="1"/>
  <c r="D8" i="5" s="1"/>
  <c r="C9" i="5" s="1"/>
  <c r="D9" i="5" s="1"/>
  <c r="C10" i="5" s="1"/>
  <c r="D10" i="5" s="1"/>
  <c r="C11" i="5" s="1"/>
  <c r="D11" i="5" s="1"/>
  <c r="C12" i="5" s="1"/>
  <c r="D12" i="5" s="1"/>
  <c r="C13" i="5" s="1"/>
  <c r="D13" i="5" s="1"/>
  <c r="C14" i="5" s="1"/>
  <c r="D14" i="5" s="1"/>
  <c r="C15" i="5" s="1"/>
  <c r="D15" i="5" s="1"/>
  <c r="C16" i="5" s="1"/>
  <c r="D16" i="5" s="1"/>
  <c r="C17" i="5" s="1"/>
  <c r="D17" i="5" s="1"/>
  <c r="C18" i="5" s="1"/>
  <c r="D18" i="5" s="1"/>
  <c r="E43" i="4"/>
  <c r="E5" i="2" s="1"/>
  <c r="D5" i="4"/>
  <c r="C6" i="4" s="1"/>
  <c r="D6" i="4" s="1"/>
  <c r="C7" i="4" s="1"/>
  <c r="D7" i="4" s="1"/>
  <c r="C8" i="4" s="1"/>
  <c r="D8" i="4" s="1"/>
  <c r="C9" i="4" s="1"/>
  <c r="D9" i="4" s="1"/>
  <c r="C10" i="4" s="1"/>
  <c r="D10" i="4" s="1"/>
  <c r="C11" i="4" s="1"/>
  <c r="D11" i="4" s="1"/>
  <c r="C12" i="4" s="1"/>
  <c r="D12" i="4" s="1"/>
  <c r="C13" i="4" s="1"/>
  <c r="D13" i="4" s="1"/>
  <c r="C14" i="4" s="1"/>
  <c r="D14" i="4" s="1"/>
  <c r="C15" i="4" s="1"/>
  <c r="D15" i="4" s="1"/>
  <c r="C16" i="4" s="1"/>
  <c r="D16" i="4" s="1"/>
  <c r="C17" i="4" s="1"/>
  <c r="D17" i="4" s="1"/>
  <c r="C18" i="4" s="1"/>
  <c r="D18" i="4" s="1"/>
  <c r="C19" i="4" s="1"/>
  <c r="D19" i="4" s="1"/>
  <c r="C20" i="4" s="1"/>
  <c r="D20" i="4" s="1"/>
  <c r="C21" i="4" s="1"/>
  <c r="D21" i="4" s="1"/>
  <c r="C22" i="4" s="1"/>
  <c r="D22" i="4" s="1"/>
  <c r="C23" i="4" s="1"/>
  <c r="D23" i="4" s="1"/>
  <c r="C24" i="4" s="1"/>
  <c r="D24" i="4" s="1"/>
  <c r="C25" i="4" s="1"/>
  <c r="D25" i="4" s="1"/>
  <c r="C26" i="4" s="1"/>
  <c r="D26" i="4" s="1"/>
  <c r="C27" i="4" s="1"/>
  <c r="D27" i="4" s="1"/>
  <c r="C28" i="4" s="1"/>
  <c r="D28" i="4" s="1"/>
  <c r="C29" i="4" s="1"/>
  <c r="D29" i="4" s="1"/>
  <c r="C30" i="4" s="1"/>
  <c r="D30" i="4" s="1"/>
  <c r="C31" i="4" s="1"/>
  <c r="D31" i="4" s="1"/>
  <c r="C32" i="4" s="1"/>
  <c r="D32" i="4" s="1"/>
  <c r="C33" i="4" s="1"/>
  <c r="D33" i="4" s="1"/>
  <c r="C34" i="4" s="1"/>
  <c r="D34" i="4" s="1"/>
  <c r="C35" i="4" s="1"/>
  <c r="D35" i="4" s="1"/>
  <c r="C36" i="4" s="1"/>
  <c r="D36" i="4" s="1"/>
  <c r="C37" i="4" s="1"/>
  <c r="D37" i="4" s="1"/>
  <c r="C38" i="4" s="1"/>
  <c r="D38" i="4" s="1"/>
  <c r="C39" i="4" s="1"/>
  <c r="D39" i="4" s="1"/>
  <c r="C40" i="4" s="1"/>
  <c r="D40" i="4" s="1"/>
  <c r="C41" i="4" s="1"/>
  <c r="D41" i="4" s="1"/>
  <c r="E9" i="3"/>
  <c r="D4" i="3"/>
  <c r="C5" i="3" s="1"/>
  <c r="D5" i="3" s="1"/>
  <c r="C6" i="3" s="1"/>
  <c r="D6" i="3" s="1"/>
  <c r="C7" i="3" s="1"/>
  <c r="D7" i="3" s="1"/>
  <c r="E4" i="2" l="1"/>
  <c r="E7" i="2"/>
  <c r="E9" i="2"/>
  <c r="E11" i="2"/>
  <c r="E8" i="2"/>
</calcChain>
</file>

<file path=xl/sharedStrings.xml><?xml version="1.0" encoding="utf-8"?>
<sst xmlns="http://schemas.openxmlformats.org/spreadsheetml/2006/main" count="650" uniqueCount="309">
  <si>
    <t>Record sequence</t>
  </si>
  <si>
    <t>FHEAD                     - once, first line</t>
  </si>
  <si>
    <t xml:space="preserve">  THEAD                   - one per document</t>
  </si>
  <si>
    <t xml:space="preserve">    TDETL                 - merchandise item lines (0...n)</t>
  </si>
  <si>
    <t xml:space="preserve">    TNMRC                 - non-merchandise costs (0...n)</t>
  </si>
  <si>
    <t xml:space="preserve">    TVATS                 - tax breakdown by tax code (0...n)</t>
  </si>
  <si>
    <t xml:space="preserve">  TTAIL                   - closes the document</t>
  </si>
  <si>
    <t>FTAIL</t>
  </si>
  <si>
    <t>Formatting rules</t>
  </si>
  <si>
    <t>Character fields: left justified, right padded with blanks.</t>
  </si>
  <si>
    <t>Numeric fields: right justified, left padded with zeroes.</t>
  </si>
  <si>
    <t>Decimals are implied - no decimal point is written. Number(20,4) means 20 characters of which the last 4 are decimals; Number(20,10) means the last 10 are decimals.</t>
  </si>
  <si>
    <t>Amounts carry an explicit sign field (+ / -) immediately in front of them; the value itself is unsigned.</t>
  </si>
  <si>
    <t>Dates are Char(14) in YYYYMMDDHH24MISS format.</t>
  </si>
  <si>
    <t>Null values are blank (spaces).</t>
  </si>
  <si>
    <t>Every record is padded to its full fixed length - the program rejects a record whose length does not match.</t>
  </si>
  <si>
    <t>Record types in the ediinvcupld input file</t>
  </si>
  <si>
    <t>Record</t>
  </si>
  <si>
    <t>Descriptor value</t>
  </si>
  <si>
    <t>Purpose</t>
  </si>
  <si>
    <t>Occurrence</t>
  </si>
  <si>
    <t>Record length (chars)</t>
  </si>
  <si>
    <t>Number of fields</t>
  </si>
  <si>
    <t>Detail sheet</t>
  </si>
  <si>
    <t>FHEAD</t>
  </si>
  <si>
    <t>File header</t>
  </si>
  <si>
    <t>1 (first line)</t>
  </si>
  <si>
    <t>see sheet FHEAD</t>
  </si>
  <si>
    <t>THEAD</t>
  </si>
  <si>
    <t>Transaction (document) header</t>
  </si>
  <si>
    <t>1...n</t>
  </si>
  <si>
    <t>see sheet THEAD</t>
  </si>
  <si>
    <t>TDETL</t>
  </si>
  <si>
    <t>Merchandise item detail</t>
  </si>
  <si>
    <t>0...n per THEAD</t>
  </si>
  <si>
    <t>see sheet TDETL</t>
  </si>
  <si>
    <t>TALLW</t>
  </si>
  <si>
    <t>Allowance for the preceding TDETL item</t>
  </si>
  <si>
    <t>0...n per TDETL</t>
  </si>
  <si>
    <t>TNMRC</t>
  </si>
  <si>
    <t>Non-merchandise cost</t>
  </si>
  <si>
    <t>see sheet TNMRC</t>
  </si>
  <si>
    <t>TVATS</t>
  </si>
  <si>
    <t>VAT/tax breakdown by tax code</t>
  </si>
  <si>
    <t>see sheet TVATS</t>
  </si>
  <si>
    <t>TTAIL</t>
  </si>
  <si>
    <t>Transaction trailer</t>
  </si>
  <si>
    <t>1 per THEAD</t>
  </si>
  <si>
    <t>see sheet TTAIL</t>
  </si>
  <si>
    <t>File trailer</t>
  </si>
  <si>
    <t>1 (last line)</t>
  </si>
  <si>
    <t>see sheet FTAIL</t>
  </si>
  <si>
    <t>FHEAD - File header</t>
  </si>
  <si>
    <t>Seq</t>
  </si>
  <si>
    <t>Field Name</t>
  </si>
  <si>
    <t>Start</t>
  </si>
  <si>
    <t>End</t>
  </si>
  <si>
    <t>Length</t>
  </si>
  <si>
    <t>Oracle Type</t>
  </si>
  <si>
    <t>Req</t>
  </si>
  <si>
    <t>Valid Values / Format</t>
  </si>
  <si>
    <t>Description &amp; Validation</t>
  </si>
  <si>
    <t>ReIM Target Column</t>
  </si>
  <si>
    <t>Record Descriptor</t>
  </si>
  <si>
    <t>Char(5)</t>
  </si>
  <si>
    <t>Y</t>
  </si>
  <si>
    <t>Identifies the record type. Program halts if not FHEAD.</t>
  </si>
  <si>
    <t>Line ID</t>
  </si>
  <si>
    <t>Number(10)</t>
  </si>
  <si>
    <t>0000000001</t>
  </si>
  <si>
    <t>Sequential file line number. Must be 0000000001 on FHEAD; halt otherwise.</t>
  </si>
  <si>
    <t>Gentran ID</t>
  </si>
  <si>
    <t>UPINV</t>
  </si>
  <si>
    <t>Transaction type of the file. Halt if not UPINV (EDIConstants.UPLOAD_GENTRAN_ID).</t>
  </si>
  <si>
    <t>File Date</t>
  </si>
  <si>
    <t>Char(14)</t>
  </si>
  <si>
    <t>YYYYMMDDHH24MISS</t>
  </si>
  <si>
    <t>Date/time the file was created. Halt if not a valid date.</t>
  </si>
  <si>
    <t>Total record length</t>
  </si>
  <si>
    <t>THEAD - Transaction (document) header</t>
  </si>
  <si>
    <t>Fixed-width record, 631 characters (EDIConstants.LEN_REC_THEAD = 631). Occurrence: 1...n. Source: com.retek.reim.batch.ediupinv (ReIM 13.1.6 reim13.war), cross-checked against the ReIM Operations Guide.</t>
  </si>
  <si>
    <t>Identifies the record type. Halt if out of sequence.</t>
  </si>
  <si>
    <t>sequential</t>
  </si>
  <si>
    <t>Sequential file line number; must continue the file sequence.</t>
  </si>
  <si>
    <t>Transaction Number</t>
  </si>
  <si>
    <t>Document/transaction number. First THEAD must be 0000000001; all child records repeat it.</t>
  </si>
  <si>
    <t>Document Type</t>
  </si>
  <si>
    <t>Char(6)</t>
  </si>
  <si>
    <t>MRCHI, NMRCHI, CRDNT, DEBMEC, DEBMEQ, CRDNRC, CRDNRQ</t>
  </si>
  <si>
    <t>Type of document. Reject transaction if null or not in the accepted set.</t>
  </si>
  <si>
    <t>IM_DOC_HEAD.DOC_TYPE</t>
  </si>
  <si>
    <t>Vendor Document Number</t>
  </si>
  <si>
    <t>Char(30)</t>
  </si>
  <si>
    <t>free text</t>
  </si>
  <si>
    <t>Supplier's own document number; up-shifted by the program. Must be unique for the vendor.</t>
  </si>
  <si>
    <t>IM_DOC_HEAD.EXT_DOC_ID</t>
  </si>
  <si>
    <t>Group ID</t>
  </si>
  <si>
    <t>Char(10)</t>
  </si>
  <si>
    <t>N</t>
  </si>
  <si>
    <t>numeric</t>
  </si>
  <si>
    <t>Informational grouping value for invoices. Present in this 13.1.6 build; not in the base 13.x OG layout.</t>
  </si>
  <si>
    <t>IM_DOC_HEAD.GROUP_ID</t>
  </si>
  <si>
    <t>Vendor Type</t>
  </si>
  <si>
    <t>SUPP, BK, AG, FF, IM, BR, FA, AP, CO, CN, S1, S2, S3</t>
  </si>
  <si>
    <t>Partner/vendor type. Reject transaction if null or invalid.</t>
  </si>
  <si>
    <t>IM_DOC_HEAD.VENDOR_TYPE</t>
  </si>
  <si>
    <t>Vendor ID</t>
  </si>
  <si>
    <t>Supplier site / partner ID. Must be numeric and exist; reject transaction otherwise.</t>
  </si>
  <si>
    <t>IM_DOC_HEAD.VENDOR_ID</t>
  </si>
  <si>
    <t>Vendor Document Date</t>
  </si>
  <si>
    <t>Date the supplier issued the document.</t>
  </si>
  <si>
    <t>IM_DOC_HEAD.DOC_DATE</t>
  </si>
  <si>
    <t>Order Number / RTV Order Number</t>
  </si>
  <si>
    <t>Merchandising (RMS) order number, or the RTV order number when RTV Ind = Y.</t>
  </si>
  <si>
    <t>IM_DOC_HEAD.ORDER_NO</t>
  </si>
  <si>
    <t>Location</t>
  </si>
  <si>
    <t>Merchandising location the document is for. Must exist in RMS.</t>
  </si>
  <si>
    <t>IM_DOC_HEAD.LOCATION</t>
  </si>
  <si>
    <t>Location Type</t>
  </si>
  <si>
    <t>Char(1)</t>
  </si>
  <si>
    <t>S = store, W = warehouse</t>
  </si>
  <si>
    <t>Location type; rejected if populated while Location is null.</t>
  </si>
  <si>
    <t>IM_DOC_HEAD.LOC_TYPE</t>
  </si>
  <si>
    <t>Terms</t>
  </si>
  <si>
    <t>Char(15)</t>
  </si>
  <si>
    <t>valid terms code</t>
  </si>
  <si>
    <t>Payment terms. Defaults to the supplier's terms when blank.</t>
  </si>
  <si>
    <t>IM_DOC_HEAD.TERMS</t>
  </si>
  <si>
    <t>Due Date</t>
  </si>
  <si>
    <t>Payment due date. Calculated from terms when blank; must not precede the document date.</t>
  </si>
  <si>
    <t>IM_DOC_HEAD.DUE_DATE</t>
  </si>
  <si>
    <t>Payment Method</t>
  </si>
  <si>
    <t>valid payment method</t>
  </si>
  <si>
    <t>Method used to pay the document.</t>
  </si>
  <si>
    <t>IM_DOC_HEAD.PAYMENT_METHOD</t>
  </si>
  <si>
    <t>Currency Code</t>
  </si>
  <si>
    <t>Char(3)</t>
  </si>
  <si>
    <t>ISO code e.g. USD</t>
  </si>
  <si>
    <t>Currency of every monetary amount on the document. Must match the order currency when an order is given.</t>
  </si>
  <si>
    <t>IM_DOC_HEAD.CURRENCY_CODE</t>
  </si>
  <si>
    <t>Exchange Rate</t>
  </si>
  <si>
    <t>Number(12,4)</t>
  </si>
  <si>
    <t>numeric, implied decimals</t>
  </si>
  <si>
    <t>Rate to the primary currency. Derived from RMS when blank.</t>
  </si>
  <si>
    <t>IM_DOC_HEAD.EXCHANGE_RATE</t>
  </si>
  <si>
    <t>Sign Indicator - Total Cost</t>
  </si>
  <si>
    <t>+ or -</t>
  </si>
  <si>
    <t>Sign of the Total Cost that follows.</t>
  </si>
  <si>
    <t>Total Cost</t>
  </si>
  <si>
    <t>Number(20,4)</t>
  </si>
  <si>
    <t>Total document cost in document currency; must reconcile to the TDETL/TNMRC lines.</t>
  </si>
  <si>
    <t>IM_DOC_HEAD.TOTAL_COST / RESOLUTION_ADJUSTED_TOTAL_COST</t>
  </si>
  <si>
    <t>Sign Indicator - Total VAT</t>
  </si>
  <si>
    <t>Sign of the Total VAT Amount that follows.</t>
  </si>
  <si>
    <t>Total VAT Amount</t>
  </si>
  <si>
    <t>Total tax on the document; treated as zero when blank. Must reconcile to TVATS / detail tax.</t>
  </si>
  <si>
    <t>IM_DOC_HEAD (total VAT amount)</t>
  </si>
  <si>
    <t>Sign Indicator - Total Quantity</t>
  </si>
  <si>
    <t>Sign of the Total Quantity that follows.</t>
  </si>
  <si>
    <t>Total Quantity</t>
  </si>
  <si>
    <t>Total quantity in EACHES; must equal the sum of TDETL quantities. Must be zero for NMRCHI.</t>
  </si>
  <si>
    <t>IM_DOC_HEAD.TOTAL_QTY / RESOLUTION_ADJUSTED_TOTAL_QTY</t>
  </si>
  <si>
    <t>Sign Indicator - Total Discount</t>
  </si>
  <si>
    <t>Sign of the Total Discount that follows.</t>
  </si>
  <si>
    <t>Total Discount</t>
  </si>
  <si>
    <t>Total discount applied to the document.</t>
  </si>
  <si>
    <t>IM_DOC_HEAD.TOTAL_DISCOUNT</t>
  </si>
  <si>
    <t>Freight Type</t>
  </si>
  <si>
    <t>valid freight type</t>
  </si>
  <si>
    <t>Freight terms for the document.</t>
  </si>
  <si>
    <t>IM_DOC_HEAD.FREIGHT_TYPE</t>
  </si>
  <si>
    <t>Paid Indicator</t>
  </si>
  <si>
    <t>Y or N</t>
  </si>
  <si>
    <t>Document already paid outside ReIM.</t>
  </si>
  <si>
    <t>IM_DOC_HEAD.MANUALLY_PAID_IND</t>
  </si>
  <si>
    <t>Multi Location Indicator</t>
  </si>
  <si>
    <t>Y routes the document to the parent-invoice tables instead of a single-location invoice.</t>
  </si>
  <si>
    <t>IM_PARENT_INVOICE (when Y)</t>
  </si>
  <si>
    <t>Consignment / Merchandise Type</t>
  </si>
  <si>
    <t>C, D or E (EDI_MERCH_TYPES)</t>
  </si>
  <si>
    <t>Java field merchType. The 13.x OG labels this position the consignment indicator; this build validates it against C/D/E - confirm the code your supplier sends.</t>
  </si>
  <si>
    <t>IM_DOC_HEAD (merch type / consignment)</t>
  </si>
  <si>
    <t>Deal ID</t>
  </si>
  <si>
    <t>RMS deal ID for deal bill-back documents. Requires a Deal Approval Indicator of M or A.</t>
  </si>
  <si>
    <t>IM_DOC_HEAD.DEAL_ID</t>
  </si>
  <si>
    <t>Deal Approval Indicator</t>
  </si>
  <si>
    <t>M = submitted, A = approved</t>
  </si>
  <si>
    <t>Approval status of the deal named above.</t>
  </si>
  <si>
    <t>RTV Indicator</t>
  </si>
  <si>
    <t>Marks the document as a return-to-vendor document.</t>
  </si>
  <si>
    <t>IM_DOC_HEAD.RTV_IND</t>
  </si>
  <si>
    <t>Custom Document Reference 1</t>
  </si>
  <si>
    <t>Char(90)</t>
  </si>
  <si>
    <t>Client customisation field; no validation. NOTE: 90 in this build, the base 13.x OG prints 30.</t>
  </si>
  <si>
    <t>IM_DOC_HEAD.CUSTOM_REF_1</t>
  </si>
  <si>
    <t>Custom Document Reference 2</t>
  </si>
  <si>
    <t>Client customisation field; no validation.</t>
  </si>
  <si>
    <t>IM_DOC_HEAD.CUSTOM_REF_2</t>
  </si>
  <si>
    <t>Custom Document Reference 3</t>
  </si>
  <si>
    <t>IM_DOC_HEAD.CUSTOM_REF_3</t>
  </si>
  <si>
    <t>Custom Document Reference 4</t>
  </si>
  <si>
    <t>IM_DOC_HEAD.CUSTOM_REF_4</t>
  </si>
  <si>
    <t>Cross-Reference Document Number</t>
  </si>
  <si>
    <t>ReIM document the credit note/debit memo refers to. Blank for non-merchandise invoices.</t>
  </si>
  <si>
    <t>IM_DOC_HEAD.REF_DOC</t>
  </si>
  <si>
    <t>TDETL - Merchandise item detail</t>
  </si>
  <si>
    <t>Identifies the record type.</t>
  </si>
  <si>
    <t>Sequential file line number.</t>
  </si>
  <si>
    <t>matches THEAD</t>
  </si>
  <si>
    <t>Must equal the transaction number of the open THEAD.</t>
  </si>
  <si>
    <t>UPC</t>
  </si>
  <si>
    <t>Char(25)</t>
  </si>
  <si>
    <t>Y*</t>
  </si>
  <si>
    <t>UPC / EAN</t>
  </si>
  <si>
    <t>Item identified by UPC. Exactly one of UPC, Item or VPN must be populated.</t>
  </si>
  <si>
    <t>IM_INVOICE_DETAIL.ITEM</t>
  </si>
  <si>
    <t>UPC Supplement</t>
  </si>
  <si>
    <t>Number(5)</t>
  </si>
  <si>
    <t>UPC supplement; legacy field, normally blank.</t>
  </si>
  <si>
    <t>Item</t>
  </si>
  <si>
    <t>RMS item number</t>
  </si>
  <si>
    <t>Item identified by RMS item number. Exactly one of UPC, Item or VPN.</t>
  </si>
  <si>
    <t>VPN</t>
  </si>
  <si>
    <t>vendor product number</t>
  </si>
  <si>
    <t>Item identified by the supplier's product number. Exactly one of UPC, Item or VPN.</t>
  </si>
  <si>
    <t>IM_INVOICE_DETAIL.ITEM (resolved)</t>
  </si>
  <si>
    <t>Sign Indicator - Quantity</t>
  </si>
  <si>
    <t>Sign of the quantity that follows.</t>
  </si>
  <si>
    <t>Original Document Quantity</t>
  </si>
  <si>
    <t>Invoiced quantity in EACHES.</t>
  </si>
  <si>
    <t>IM_INVOICE_DETAIL.INVOICE_QTY / RESOLUTION_ADJUSTED_QTY</t>
  </si>
  <si>
    <t>Sign Indicator - Unit Cost</t>
  </si>
  <si>
    <t>Sign of the unit cost that follows.</t>
  </si>
  <si>
    <t>Original Unit Cost</t>
  </si>
  <si>
    <t>Unit cost in document currency.</t>
  </si>
  <si>
    <t>IM_INVOICE_DETAIL.UNIT_COST / RESOLUTION_ADJUSTED_UNIT_COST</t>
  </si>
  <si>
    <t>Original VAT Code</t>
  </si>
  <si>
    <t>valid VAT code</t>
  </si>
  <si>
    <t>Tax code applied to this item.</t>
  </si>
  <si>
    <t>IM_INVOICE_DETAIL (tax code)</t>
  </si>
  <si>
    <t>Original VAT Rate</t>
  </si>
  <si>
    <t>Number(20,10)</t>
  </si>
  <si>
    <t>Tax rate for the code above.</t>
  </si>
  <si>
    <t>IM_INVOICE_DETAIL (tax rate)</t>
  </si>
  <si>
    <t>Sign Indicator - Total Allowance</t>
  </si>
  <si>
    <t>Sign of the total allowance that follows.</t>
  </si>
  <si>
    <t>Total Allowance</t>
  </si>
  <si>
    <t>Sum of the TALLW records for this item; 0 when there are none. Must be 0 for CRDNT.</t>
  </si>
  <si>
    <t>IM_INVOICE_DETAIL (allowance total)</t>
  </si>
  <si>
    <t>TALLW - Allowance for the preceding TDETL item</t>
  </si>
  <si>
    <t>Identifies the record type. Must follow its TDETL record.</t>
  </si>
  <si>
    <t>Allowance Code</t>
  </si>
  <si>
    <t>valid allowance code</t>
  </si>
  <si>
    <t>Type of allowance. Rejected if null or not set up in ReIM.</t>
  </si>
  <si>
    <t>IM_INVOICE_DETAIL_ALLOWANCE.ALLOWANCE_CODE</t>
  </si>
  <si>
    <t>Sign Indicator - Allowance Amount</t>
  </si>
  <si>
    <t>Sign of the allowance amount that follows.</t>
  </si>
  <si>
    <t>Allowance Amount</t>
  </si>
  <si>
    <t>Allowance value in document currency.</t>
  </si>
  <si>
    <t>IM_INVOICE_DETAIL_ALLOWANCE.ALLOWANCE_AMOUNT</t>
  </si>
  <si>
    <t>Allowance VAT Code</t>
  </si>
  <si>
    <t>Tax code applied to the allowance.</t>
  </si>
  <si>
    <t>Allowance VAT Rate</t>
  </si>
  <si>
    <t>TNMRC - Non-merchandise cost</t>
  </si>
  <si>
    <t>Non-Merchandise Code</t>
  </si>
  <si>
    <t>valid non-merch code</t>
  </si>
  <si>
    <t>Type of non-merchandise cost. Rejected if null or invalid.</t>
  </si>
  <si>
    <t>IM_DOC_NON_MERCH.NON_MERCH_CODE</t>
  </si>
  <si>
    <t>Sign Indicator - Amount</t>
  </si>
  <si>
    <t>Sign of the non-merchandise amount that follows.</t>
  </si>
  <si>
    <t>Non-Merchandise Amount</t>
  </si>
  <si>
    <t>Cost in document currency. Must be negative when the document type is CRDNT.</t>
  </si>
  <si>
    <t>IM_DOC_NON_MERCH.NON_MERCH_AMT</t>
  </si>
  <si>
    <t>Non-Merchandise VAT Code</t>
  </si>
  <si>
    <t>Tax code applied to the non-merchandise cost.</t>
  </si>
  <si>
    <t>Non-Merchandise VAT Rate</t>
  </si>
  <si>
    <t>Service Performed Indicator</t>
  </si>
  <si>
    <t>Whether the service has been performed. Rejected if null or not Y/N.</t>
  </si>
  <si>
    <t>IM_DOC_NON_MERCH.SERVICE_PERF_IND</t>
  </si>
  <si>
    <t>Store</t>
  </si>
  <si>
    <t>Store where the service was performed; validated when the indicator is Y.</t>
  </si>
  <si>
    <t>IM_DOC_NON_MERCH.STORE</t>
  </si>
  <si>
    <t>TVATS - VAT/tax breakdown by tax code</t>
  </si>
  <si>
    <t>Identifies the record type. (EDIConstants names the field TTAXS but its value is TVATS.)</t>
  </si>
  <si>
    <t>VAT Code</t>
  </si>
  <si>
    <t>Tax code the cost below is taxed at.</t>
  </si>
  <si>
    <t>IM_DOC_TAX (tax code)</t>
  </si>
  <si>
    <t>VAT Rate</t>
  </si>
  <si>
    <t>IM_DOC_TAX (tax rate)</t>
  </si>
  <si>
    <t>Sign Indicator - Cost</t>
  </si>
  <si>
    <t>Sign of the taxable cost that follows.</t>
  </si>
  <si>
    <t>Cost at this VAT Code</t>
  </si>
  <si>
    <t>Total document amount taxed at this rate (tax basis).</t>
  </si>
  <si>
    <t>IM_DOC_TAX (tax basis)</t>
  </si>
  <si>
    <t>TTAIL - Transaction trailer</t>
  </si>
  <si>
    <t>Fixed-width record, 31 characters (EDIConstants.LEN_REC_TTAIL = 31). Occurrence: 1 per THEAD. Source: com.retek.reim.batch.ediupinv (ReIM 13.1.6 reim13.war), cross-checked against the ReIM Operations Guide.</t>
  </si>
  <si>
    <t>Identifies the record type; closes the open transaction.</t>
  </si>
  <si>
    <t>Transaction being closed.</t>
  </si>
  <si>
    <t>Transaction Lines</t>
  </si>
  <si>
    <t>Number(6)</t>
  </si>
  <si>
    <t>Count of detail lines inside the transaction. Must match the actual count and must not be zero.</t>
  </si>
  <si>
    <t>FTAIL - File trailer</t>
  </si>
  <si>
    <t>Identifies the record type. Halt if not FTAIL.</t>
  </si>
  <si>
    <t>Number of Lines</t>
  </si>
  <si>
    <t>Total lines in the file excluding FHEAD and FTAIL. Halt on mismatch or when the value implies an empty file.</t>
  </si>
  <si>
    <t xml:space="preserve">      TALLW               - allowances, must follow their TDETL (0...n) -- not required now</t>
  </si>
  <si>
    <t>FTAIL                     - once, last line</t>
  </si>
  <si>
    <t>(Not required)</t>
  </si>
  <si>
    <t>see sheet TALLW (Not required)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</si>
</sst>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1"/>
    </font>
    <font>
      <b/>
      <sz val="14"/>
      <color rgb="FF1F3864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b/>
      <sz val="11"/>
      <color rgb="FFFFFFFF"/>
      <name val="Arial"/>
      <charset val="1"/>
    </font>
    <font>
      <b/>
      <sz val="10"/>
      <color rgb="FFFFFFFF"/>
      <name val="Arial"/>
      <charset val="1"/>
    </font>
    <font>
      <i/>
      <sz val="9"/>
      <color rgb="FF555555"/>
      <name val="Arial"/>
      <charset val="1"/>
    </font>
    <font>
      <b/>
      <sz val="11"/>
      <color theme="1"/>
      <name val="Calibri"/>
      <family val="2"/>
    </font>
    <font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E2EFDA"/>
      </patternFill>
    </fill>
    <fill>
      <patternFill patternType="solid">
        <fgColor rgb="FFE2EFDA"/>
        <b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top" wrapText="1"/>
    </xf>
    <xf numFmtId="0" fontId="5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top"/>
    </xf>
    <xf numFmtId="0" fontId="3" fillId="3" borderId="1" xfId="0" applyFont="1" applyFill="1" applyBorder="1" applyAlignment="1">
      <alignment horizontal="center" vertical="top"/>
    </xf>
    <xf numFmtId="0" fontId="2" fillId="4" borderId="0" xfId="0" applyFont="1" applyFill="1"/>
    <xf numFmtId="0" fontId="4" fillId="2" borderId="0" xfId="0" applyFont="1" applyFill="1"/>
    <xf numFmtId="0" fontId="6" fillId="0" borderId="0" xfId="0" applyFont="1"/>
    <xf numFmtId="0" fontId="7" fillId="0" borderId="0" xfId="0" applyFont="1"/>
    <xf numFmtId="0" fontId="8" fillId="0" borderId="1" xfId="0" applyFont="1" applyBorder="1" applyAlignment="1">
      <alignment horizontal="left" vertical="top"/>
    </xf>
    <xf numFmtId="0" fontId="8" fillId="0" borderId="1" xfId="0" applyFont="1" applyBorder="1" applyAlignment="1">
      <alignment horizontal="left" vertical="top" wrapText="1"/>
    </xf>
    <xf numFmtId="0" fontId="8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"/>
  <sheetViews>
    <sheetView tabSelected="1" topLeftCell="A6" zoomScaleNormal="100" workbookViewId="0">
      <selection activeCell="A21" sqref="A21:XFD27"/>
    </sheetView>
  </sheetViews>
  <sheetFormatPr defaultColWidth="8.6640625" defaultRowHeight="14.4" x14ac:dyDescent="0.3"/>
  <cols>
    <col min="1" max="1" width="22" customWidth="1"/>
    <col min="2" max="2" width="132" customWidth="1"/>
  </cols>
  <sheetData>
    <row r="1" spans="1:2" x14ac:dyDescent="0.3">
      <c r="A1" s="2"/>
      <c r="B1" s="3"/>
    </row>
    <row r="2" spans="1:2" x14ac:dyDescent="0.3">
      <c r="A2" s="10" t="s">
        <v>0</v>
      </c>
      <c r="B2" s="10"/>
    </row>
    <row r="3" spans="1:2" x14ac:dyDescent="0.3">
      <c r="A3" s="2"/>
      <c r="B3" s="3" t="s">
        <v>1</v>
      </c>
    </row>
    <row r="4" spans="1:2" x14ac:dyDescent="0.3">
      <c r="A4" s="2"/>
      <c r="B4" s="3" t="s">
        <v>2</v>
      </c>
    </row>
    <row r="5" spans="1:2" x14ac:dyDescent="0.3">
      <c r="A5" s="2"/>
      <c r="B5" s="3" t="s">
        <v>3</v>
      </c>
    </row>
    <row r="6" spans="1:2" x14ac:dyDescent="0.3">
      <c r="A6" s="2"/>
      <c r="B6" s="3" t="s">
        <v>305</v>
      </c>
    </row>
    <row r="7" spans="1:2" x14ac:dyDescent="0.3">
      <c r="A7" s="2"/>
      <c r="B7" s="3" t="s">
        <v>4</v>
      </c>
    </row>
    <row r="8" spans="1:2" x14ac:dyDescent="0.3">
      <c r="A8" s="2"/>
      <c r="B8" s="3" t="s">
        <v>5</v>
      </c>
    </row>
    <row r="9" spans="1:2" x14ac:dyDescent="0.3">
      <c r="A9" s="2"/>
      <c r="B9" s="3" t="s">
        <v>6</v>
      </c>
    </row>
    <row r="10" spans="1:2" x14ac:dyDescent="0.3">
      <c r="A10" s="2"/>
      <c r="B10" s="3" t="s">
        <v>306</v>
      </c>
    </row>
    <row r="11" spans="1:2" x14ac:dyDescent="0.3">
      <c r="A11" s="2"/>
      <c r="B11" s="3"/>
    </row>
    <row r="12" spans="1:2" x14ac:dyDescent="0.3">
      <c r="A12" s="10" t="s">
        <v>8</v>
      </c>
      <c r="B12" s="10"/>
    </row>
    <row r="13" spans="1:2" x14ac:dyDescent="0.3">
      <c r="A13" s="2"/>
      <c r="B13" s="3" t="s">
        <v>9</v>
      </c>
    </row>
    <row r="14" spans="1:2" x14ac:dyDescent="0.3">
      <c r="A14" s="2"/>
      <c r="B14" s="3" t="s">
        <v>10</v>
      </c>
    </row>
    <row r="15" spans="1:2" ht="26.4" x14ac:dyDescent="0.3">
      <c r="A15" s="2"/>
      <c r="B15" s="3" t="s">
        <v>11</v>
      </c>
    </row>
    <row r="16" spans="1:2" x14ac:dyDescent="0.3">
      <c r="A16" s="2"/>
      <c r="B16" s="3" t="s">
        <v>12</v>
      </c>
    </row>
    <row r="17" spans="1:2" x14ac:dyDescent="0.3">
      <c r="A17" s="2"/>
      <c r="B17" s="3" t="s">
        <v>13</v>
      </c>
    </row>
    <row r="18" spans="1:2" x14ac:dyDescent="0.3">
      <c r="A18" s="2"/>
      <c r="B18" s="3" t="s">
        <v>14</v>
      </c>
    </row>
    <row r="19" spans="1:2" x14ac:dyDescent="0.3">
      <c r="A19" s="2"/>
      <c r="B19" s="3" t="s">
        <v>15</v>
      </c>
    </row>
    <row r="20" spans="1:2" x14ac:dyDescent="0.3">
      <c r="A20" s="2"/>
      <c r="B20" s="3"/>
    </row>
  </sheetData>
  <mergeCells count="2">
    <mergeCell ref="A2:B2"/>
    <mergeCell ref="A12:B1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1"/>
  <sheetViews>
    <sheetView zoomScaleNormal="100" workbookViewId="0">
      <selection activeCell="D26" sqref="D26"/>
    </sheetView>
  </sheetViews>
  <sheetFormatPr defaultColWidth="8.6640625" defaultRowHeight="14.4" x14ac:dyDescent="0.3"/>
  <cols>
    <col min="1" max="1" width="12" customWidth="1"/>
    <col min="2" max="2" width="18" customWidth="1"/>
    <col min="3" max="3" width="44" customWidth="1"/>
    <col min="4" max="4" width="24" customWidth="1"/>
    <col min="5" max="5" width="22" customWidth="1"/>
    <col min="6" max="6" width="18" customWidth="1"/>
    <col min="7" max="7" width="27.77734375" bestFit="1" customWidth="1"/>
  </cols>
  <sheetData>
    <row r="1" spans="1:7" ht="17.399999999999999" x14ac:dyDescent="0.3">
      <c r="A1" s="1" t="s">
        <v>16</v>
      </c>
    </row>
    <row r="3" spans="1:7" x14ac:dyDescent="0.3">
      <c r="A3" s="4" t="s">
        <v>17</v>
      </c>
      <c r="B3" s="4" t="s">
        <v>18</v>
      </c>
      <c r="C3" s="4" t="s">
        <v>19</v>
      </c>
      <c r="D3" s="4" t="s">
        <v>20</v>
      </c>
      <c r="E3" s="4" t="s">
        <v>21</v>
      </c>
      <c r="F3" s="4" t="s">
        <v>22</v>
      </c>
      <c r="G3" s="4" t="s">
        <v>23</v>
      </c>
    </row>
    <row r="4" spans="1:7" x14ac:dyDescent="0.3">
      <c r="A4" s="5" t="s">
        <v>24</v>
      </c>
      <c r="B4" s="5" t="s">
        <v>24</v>
      </c>
      <c r="C4" s="6" t="s">
        <v>25</v>
      </c>
      <c r="D4" s="6" t="s">
        <v>26</v>
      </c>
      <c r="E4" s="7">
        <f>FHEAD!E9</f>
        <v>34</v>
      </c>
      <c r="F4" s="7">
        <v>4</v>
      </c>
      <c r="G4" s="5" t="s">
        <v>27</v>
      </c>
    </row>
    <row r="5" spans="1:7" x14ac:dyDescent="0.3">
      <c r="A5" s="5" t="s">
        <v>28</v>
      </c>
      <c r="B5" s="5" t="s">
        <v>28</v>
      </c>
      <c r="C5" s="6" t="s">
        <v>29</v>
      </c>
      <c r="D5" s="6" t="s">
        <v>30</v>
      </c>
      <c r="E5" s="7">
        <f>THEAD!E43</f>
        <v>631</v>
      </c>
      <c r="F5" s="7">
        <v>37</v>
      </c>
      <c r="G5" s="5" t="s">
        <v>31</v>
      </c>
    </row>
    <row r="6" spans="1:7" x14ac:dyDescent="0.3">
      <c r="A6" s="5" t="s">
        <v>32</v>
      </c>
      <c r="B6" s="5" t="s">
        <v>32</v>
      </c>
      <c r="C6" s="6" t="s">
        <v>33</v>
      </c>
      <c r="D6" s="6" t="s">
        <v>34</v>
      </c>
      <c r="E6" s="7">
        <f>TDETL!E20</f>
        <v>191</v>
      </c>
      <c r="F6" s="7">
        <v>15</v>
      </c>
      <c r="G6" s="5" t="s">
        <v>35</v>
      </c>
    </row>
    <row r="7" spans="1:7" x14ac:dyDescent="0.3">
      <c r="A7" s="13" t="s">
        <v>36</v>
      </c>
      <c r="B7" s="13" t="s">
        <v>36</v>
      </c>
      <c r="C7" s="14" t="s">
        <v>37</v>
      </c>
      <c r="D7" s="14" t="s">
        <v>38</v>
      </c>
      <c r="E7" s="15">
        <f>'TALLW(Not required)'!E13</f>
        <v>78</v>
      </c>
      <c r="F7" s="15">
        <v>8</v>
      </c>
      <c r="G7" s="13" t="s">
        <v>308</v>
      </c>
    </row>
    <row r="8" spans="1:7" x14ac:dyDescent="0.3">
      <c r="A8" s="5" t="s">
        <v>39</v>
      </c>
      <c r="B8" s="5" t="s">
        <v>39</v>
      </c>
      <c r="C8" s="6" t="s">
        <v>40</v>
      </c>
      <c r="D8" s="6" t="s">
        <v>34</v>
      </c>
      <c r="E8" s="7">
        <f>TNMRC!E15</f>
        <v>89</v>
      </c>
      <c r="F8" s="7">
        <v>10</v>
      </c>
      <c r="G8" s="5" t="s">
        <v>41</v>
      </c>
    </row>
    <row r="9" spans="1:7" x14ac:dyDescent="0.3">
      <c r="A9" s="5" t="s">
        <v>42</v>
      </c>
      <c r="B9" s="5" t="s">
        <v>42</v>
      </c>
      <c r="C9" s="6" t="s">
        <v>43</v>
      </c>
      <c r="D9" s="6" t="s">
        <v>34</v>
      </c>
      <c r="E9" s="7">
        <f>TVATS!E12</f>
        <v>72</v>
      </c>
      <c r="F9" s="7">
        <v>7</v>
      </c>
      <c r="G9" s="5" t="s">
        <v>44</v>
      </c>
    </row>
    <row r="10" spans="1:7" x14ac:dyDescent="0.3">
      <c r="A10" s="5" t="s">
        <v>45</v>
      </c>
      <c r="B10" s="5" t="s">
        <v>45</v>
      </c>
      <c r="C10" s="6" t="s">
        <v>46</v>
      </c>
      <c r="D10" s="6" t="s">
        <v>47</v>
      </c>
      <c r="E10" s="7">
        <f>TTAIL!E10</f>
        <v>31</v>
      </c>
      <c r="F10" s="7">
        <v>4</v>
      </c>
      <c r="G10" s="5" t="s">
        <v>48</v>
      </c>
    </row>
    <row r="11" spans="1:7" x14ac:dyDescent="0.3">
      <c r="A11" s="5" t="s">
        <v>7</v>
      </c>
      <c r="B11" s="5" t="s">
        <v>7</v>
      </c>
      <c r="C11" s="6" t="s">
        <v>49</v>
      </c>
      <c r="D11" s="6" t="s">
        <v>50</v>
      </c>
      <c r="E11" s="7">
        <f>FTAIL!E8</f>
        <v>25</v>
      </c>
      <c r="F11" s="7">
        <v>3</v>
      </c>
      <c r="G11" s="5" t="s">
        <v>51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9"/>
  <sheetViews>
    <sheetView zoomScaleNormal="100" workbookViewId="0">
      <pane ySplit="3" topLeftCell="A4" activePane="bottomLeft" state="frozen"/>
      <selection pane="bottomLeft" activeCell="A2" sqref="A2:XFD2"/>
    </sheetView>
  </sheetViews>
  <sheetFormatPr defaultColWidth="8.6640625" defaultRowHeight="14.4" x14ac:dyDescent="0.3"/>
  <cols>
    <col min="1" max="1" width="5" customWidth="1"/>
    <col min="2" max="2" width="34" customWidth="1"/>
    <col min="3" max="4" width="8" customWidth="1"/>
    <col min="5" max="5" width="9" customWidth="1"/>
    <col min="6" max="6" width="14" customWidth="1"/>
    <col min="7" max="7" width="6" customWidth="1"/>
    <col min="8" max="8" width="40" customWidth="1"/>
    <col min="9" max="9" width="72" customWidth="1"/>
    <col min="10" max="10" width="46" customWidth="1"/>
  </cols>
  <sheetData>
    <row r="1" spans="1:10" ht="17.399999999999999" x14ac:dyDescent="0.3">
      <c r="A1" s="1" t="s">
        <v>52</v>
      </c>
    </row>
    <row r="3" spans="1:10" x14ac:dyDescent="0.3">
      <c r="A3" s="4" t="s">
        <v>53</v>
      </c>
      <c r="B3" s="4" t="s">
        <v>54</v>
      </c>
      <c r="C3" s="4" t="s">
        <v>55</v>
      </c>
      <c r="D3" s="4" t="s">
        <v>56</v>
      </c>
      <c r="E3" s="4" t="s">
        <v>57</v>
      </c>
      <c r="F3" s="4" t="s">
        <v>58</v>
      </c>
      <c r="G3" s="4" t="s">
        <v>59</v>
      </c>
      <c r="H3" s="4" t="s">
        <v>60</v>
      </c>
      <c r="I3" s="4" t="s">
        <v>61</v>
      </c>
      <c r="J3" s="4" t="s">
        <v>62</v>
      </c>
    </row>
    <row r="4" spans="1:10" x14ac:dyDescent="0.3">
      <c r="A4" s="7">
        <v>1</v>
      </c>
      <c r="B4" s="5" t="s">
        <v>63</v>
      </c>
      <c r="C4" s="7">
        <v>1</v>
      </c>
      <c r="D4" s="7">
        <f>C4+E4-1</f>
        <v>5</v>
      </c>
      <c r="E4" s="7">
        <v>5</v>
      </c>
      <c r="F4" s="5" t="s">
        <v>64</v>
      </c>
      <c r="G4" s="8" t="s">
        <v>65</v>
      </c>
      <c r="H4" s="6" t="s">
        <v>24</v>
      </c>
      <c r="I4" s="6" t="s">
        <v>66</v>
      </c>
      <c r="J4" s="6"/>
    </row>
    <row r="5" spans="1:10" x14ac:dyDescent="0.3">
      <c r="A5" s="7">
        <v>2</v>
      </c>
      <c r="B5" s="5" t="s">
        <v>67</v>
      </c>
      <c r="C5" s="7">
        <f>D4+1</f>
        <v>6</v>
      </c>
      <c r="D5" s="7">
        <f>C5+E5-1</f>
        <v>15</v>
      </c>
      <c r="E5" s="7">
        <v>10</v>
      </c>
      <c r="F5" s="5" t="s">
        <v>68</v>
      </c>
      <c r="G5" s="8" t="s">
        <v>65</v>
      </c>
      <c r="H5" s="6" t="s">
        <v>69</v>
      </c>
      <c r="I5" s="6" t="s">
        <v>70</v>
      </c>
      <c r="J5" s="6"/>
    </row>
    <row r="6" spans="1:10" ht="26.4" x14ac:dyDescent="0.3">
      <c r="A6" s="7">
        <v>3</v>
      </c>
      <c r="B6" s="5" t="s">
        <v>71</v>
      </c>
      <c r="C6" s="7">
        <f>D5+1</f>
        <v>16</v>
      </c>
      <c r="D6" s="7">
        <f>C6+E6-1</f>
        <v>20</v>
      </c>
      <c r="E6" s="7">
        <v>5</v>
      </c>
      <c r="F6" s="5" t="s">
        <v>64</v>
      </c>
      <c r="G6" s="8" t="s">
        <v>65</v>
      </c>
      <c r="H6" s="6" t="s">
        <v>72</v>
      </c>
      <c r="I6" s="6" t="s">
        <v>73</v>
      </c>
      <c r="J6" s="6"/>
    </row>
    <row r="7" spans="1:10" x14ac:dyDescent="0.3">
      <c r="A7" s="7">
        <v>4</v>
      </c>
      <c r="B7" s="5" t="s">
        <v>74</v>
      </c>
      <c r="C7" s="7">
        <f>D6+1</f>
        <v>21</v>
      </c>
      <c r="D7" s="7">
        <f>C7+E7-1</f>
        <v>34</v>
      </c>
      <c r="E7" s="7">
        <v>14</v>
      </c>
      <c r="F7" s="5" t="s">
        <v>75</v>
      </c>
      <c r="G7" s="8" t="s">
        <v>65</v>
      </c>
      <c r="H7" s="6" t="s">
        <v>76</v>
      </c>
      <c r="I7" s="6" t="s">
        <v>77</v>
      </c>
      <c r="J7" s="6"/>
    </row>
    <row r="9" spans="1:10" x14ac:dyDescent="0.3">
      <c r="B9" s="2" t="s">
        <v>78</v>
      </c>
      <c r="E9" s="9">
        <f>SUM(E4:E7)</f>
        <v>34</v>
      </c>
      <c r="F9" s="9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43"/>
  <sheetViews>
    <sheetView topLeftCell="B1" zoomScaleNormal="100" workbookViewId="0">
      <pane ySplit="4" topLeftCell="A5" activePane="bottomLeft" state="frozen"/>
      <selection pane="bottomLeft" activeCell="B8" sqref="B8"/>
    </sheetView>
  </sheetViews>
  <sheetFormatPr defaultColWidth="8.6640625" defaultRowHeight="14.4" x14ac:dyDescent="0.3"/>
  <cols>
    <col min="1" max="1" width="5" customWidth="1"/>
    <col min="2" max="2" width="34" customWidth="1"/>
    <col min="3" max="4" width="8" customWidth="1"/>
    <col min="5" max="5" width="9" customWidth="1"/>
    <col min="6" max="6" width="14" customWidth="1"/>
    <col min="7" max="7" width="6" customWidth="1"/>
    <col min="8" max="8" width="40" customWidth="1"/>
    <col min="9" max="9" width="72" customWidth="1"/>
    <col min="10" max="10" width="46" customWidth="1"/>
  </cols>
  <sheetData>
    <row r="1" spans="1:10" ht="17.399999999999999" x14ac:dyDescent="0.3">
      <c r="A1" s="1" t="s">
        <v>79</v>
      </c>
    </row>
    <row r="2" spans="1:10" ht="27.75" customHeight="1" x14ac:dyDescent="0.3">
      <c r="A2" s="11" t="s">
        <v>80</v>
      </c>
      <c r="B2" s="11"/>
      <c r="C2" s="11"/>
      <c r="D2" s="11"/>
      <c r="E2" s="11"/>
      <c r="F2" s="11"/>
      <c r="G2" s="11"/>
      <c r="H2" s="11"/>
      <c r="I2" s="11"/>
      <c r="J2" s="11"/>
    </row>
    <row r="4" spans="1:10" x14ac:dyDescent="0.3">
      <c r="A4" s="4" t="s">
        <v>53</v>
      </c>
      <c r="B4" s="4" t="s">
        <v>54</v>
      </c>
      <c r="C4" s="4" t="s">
        <v>55</v>
      </c>
      <c r="D4" s="4" t="s">
        <v>56</v>
      </c>
      <c r="E4" s="4" t="s">
        <v>57</v>
      </c>
      <c r="F4" s="4" t="s">
        <v>58</v>
      </c>
      <c r="G4" s="4" t="s">
        <v>59</v>
      </c>
      <c r="H4" s="4" t="s">
        <v>60</v>
      </c>
      <c r="I4" s="4" t="s">
        <v>61</v>
      </c>
      <c r="J4" s="4" t="s">
        <v>62</v>
      </c>
    </row>
    <row r="5" spans="1:10" x14ac:dyDescent="0.3">
      <c r="A5" s="7">
        <v>1</v>
      </c>
      <c r="B5" s="5" t="s">
        <v>63</v>
      </c>
      <c r="C5" s="7">
        <v>1</v>
      </c>
      <c r="D5" s="7">
        <f t="shared" ref="D5:D41" si="0">C5+E5-1</f>
        <v>5</v>
      </c>
      <c r="E5" s="7">
        <v>5</v>
      </c>
      <c r="F5" s="5" t="s">
        <v>64</v>
      </c>
      <c r="G5" s="8" t="s">
        <v>65</v>
      </c>
      <c r="H5" s="6" t="s">
        <v>28</v>
      </c>
      <c r="I5" s="6" t="s">
        <v>81</v>
      </c>
      <c r="J5" s="6"/>
    </row>
    <row r="6" spans="1:10" x14ac:dyDescent="0.3">
      <c r="A6" s="7">
        <v>2</v>
      </c>
      <c r="B6" s="5" t="s">
        <v>67</v>
      </c>
      <c r="C6" s="7">
        <f t="shared" ref="C6:C41" si="1">D5+1</f>
        <v>6</v>
      </c>
      <c r="D6" s="7">
        <f t="shared" si="0"/>
        <v>15</v>
      </c>
      <c r="E6" s="7">
        <v>10</v>
      </c>
      <c r="F6" s="5" t="s">
        <v>68</v>
      </c>
      <c r="G6" s="8" t="s">
        <v>65</v>
      </c>
      <c r="H6" s="6" t="s">
        <v>82</v>
      </c>
      <c r="I6" s="6" t="s">
        <v>83</v>
      </c>
      <c r="J6" s="6"/>
    </row>
    <row r="7" spans="1:10" ht="26.4" x14ac:dyDescent="0.3">
      <c r="A7" s="7">
        <v>3</v>
      </c>
      <c r="B7" s="5" t="s">
        <v>84</v>
      </c>
      <c r="C7" s="7">
        <f t="shared" si="1"/>
        <v>16</v>
      </c>
      <c r="D7" s="7">
        <f t="shared" si="0"/>
        <v>25</v>
      </c>
      <c r="E7" s="7">
        <v>10</v>
      </c>
      <c r="F7" s="5" t="s">
        <v>68</v>
      </c>
      <c r="G7" s="8" t="s">
        <v>65</v>
      </c>
      <c r="H7" s="6" t="s">
        <v>82</v>
      </c>
      <c r="I7" s="6" t="s">
        <v>85</v>
      </c>
      <c r="J7" s="6"/>
    </row>
    <row r="8" spans="1:10" ht="26.4" x14ac:dyDescent="0.3">
      <c r="A8" s="7">
        <v>4</v>
      </c>
      <c r="B8" s="5" t="s">
        <v>86</v>
      </c>
      <c r="C8" s="7">
        <f t="shared" si="1"/>
        <v>26</v>
      </c>
      <c r="D8" s="7">
        <f t="shared" si="0"/>
        <v>31</v>
      </c>
      <c r="E8" s="7">
        <v>6</v>
      </c>
      <c r="F8" s="5" t="s">
        <v>87</v>
      </c>
      <c r="G8" s="8" t="s">
        <v>65</v>
      </c>
      <c r="H8" s="6" t="s">
        <v>88</v>
      </c>
      <c r="I8" s="6" t="s">
        <v>89</v>
      </c>
      <c r="J8" s="6" t="s">
        <v>90</v>
      </c>
    </row>
    <row r="9" spans="1:10" ht="26.4" x14ac:dyDescent="0.3">
      <c r="A9" s="7">
        <v>5</v>
      </c>
      <c r="B9" s="5" t="s">
        <v>91</v>
      </c>
      <c r="C9" s="7">
        <f t="shared" si="1"/>
        <v>32</v>
      </c>
      <c r="D9" s="7">
        <f t="shared" si="0"/>
        <v>61</v>
      </c>
      <c r="E9" s="7">
        <v>30</v>
      </c>
      <c r="F9" s="5" t="s">
        <v>92</v>
      </c>
      <c r="G9" s="8" t="s">
        <v>65</v>
      </c>
      <c r="H9" s="6" t="s">
        <v>93</v>
      </c>
      <c r="I9" s="6" t="s">
        <v>94</v>
      </c>
      <c r="J9" s="6" t="s">
        <v>95</v>
      </c>
    </row>
    <row r="10" spans="1:10" ht="26.4" x14ac:dyDescent="0.3">
      <c r="A10" s="7">
        <v>6</v>
      </c>
      <c r="B10" s="5" t="s">
        <v>96</v>
      </c>
      <c r="C10" s="7">
        <f t="shared" si="1"/>
        <v>62</v>
      </c>
      <c r="D10" s="7">
        <f t="shared" si="0"/>
        <v>71</v>
      </c>
      <c r="E10" s="7">
        <v>10</v>
      </c>
      <c r="F10" s="5" t="s">
        <v>97</v>
      </c>
      <c r="G10" s="7" t="s">
        <v>98</v>
      </c>
      <c r="H10" s="6" t="s">
        <v>99</v>
      </c>
      <c r="I10" s="6" t="s">
        <v>100</v>
      </c>
      <c r="J10" s="6" t="s">
        <v>101</v>
      </c>
    </row>
    <row r="11" spans="1:10" ht="26.4" x14ac:dyDescent="0.3">
      <c r="A11" s="7">
        <v>7</v>
      </c>
      <c r="B11" s="5" t="s">
        <v>102</v>
      </c>
      <c r="C11" s="7">
        <f t="shared" si="1"/>
        <v>72</v>
      </c>
      <c r="D11" s="7">
        <f t="shared" si="0"/>
        <v>77</v>
      </c>
      <c r="E11" s="7">
        <v>6</v>
      </c>
      <c r="F11" s="5" t="s">
        <v>87</v>
      </c>
      <c r="G11" s="8" t="s">
        <v>65</v>
      </c>
      <c r="H11" s="6" t="s">
        <v>103</v>
      </c>
      <c r="I11" s="6" t="s">
        <v>104</v>
      </c>
      <c r="J11" s="6" t="s">
        <v>105</v>
      </c>
    </row>
    <row r="12" spans="1:10" x14ac:dyDescent="0.3">
      <c r="A12" s="7">
        <v>8</v>
      </c>
      <c r="B12" s="5" t="s">
        <v>106</v>
      </c>
      <c r="C12" s="7">
        <f t="shared" si="1"/>
        <v>78</v>
      </c>
      <c r="D12" s="7">
        <f t="shared" si="0"/>
        <v>87</v>
      </c>
      <c r="E12" s="7">
        <v>10</v>
      </c>
      <c r="F12" s="5" t="s">
        <v>97</v>
      </c>
      <c r="G12" s="8" t="s">
        <v>65</v>
      </c>
      <c r="H12" s="6" t="s">
        <v>99</v>
      </c>
      <c r="I12" s="6" t="s">
        <v>107</v>
      </c>
      <c r="J12" s="6" t="s">
        <v>108</v>
      </c>
    </row>
    <row r="13" spans="1:10" x14ac:dyDescent="0.3">
      <c r="A13" s="7">
        <v>9</v>
      </c>
      <c r="B13" s="5" t="s">
        <v>109</v>
      </c>
      <c r="C13" s="7">
        <f t="shared" si="1"/>
        <v>88</v>
      </c>
      <c r="D13" s="7">
        <f t="shared" si="0"/>
        <v>101</v>
      </c>
      <c r="E13" s="7">
        <v>14</v>
      </c>
      <c r="F13" s="5" t="s">
        <v>75</v>
      </c>
      <c r="G13" s="8" t="s">
        <v>65</v>
      </c>
      <c r="H13" s="6" t="s">
        <v>76</v>
      </c>
      <c r="I13" s="6" t="s">
        <v>110</v>
      </c>
      <c r="J13" s="6" t="s">
        <v>111</v>
      </c>
    </row>
    <row r="14" spans="1:10" x14ac:dyDescent="0.3">
      <c r="A14" s="7">
        <v>10</v>
      </c>
      <c r="B14" s="5" t="s">
        <v>112</v>
      </c>
      <c r="C14" s="7">
        <f t="shared" si="1"/>
        <v>102</v>
      </c>
      <c r="D14" s="7">
        <f t="shared" si="0"/>
        <v>111</v>
      </c>
      <c r="E14" s="7">
        <v>10</v>
      </c>
      <c r="F14" s="5" t="s">
        <v>68</v>
      </c>
      <c r="G14" s="7" t="s">
        <v>98</v>
      </c>
      <c r="H14" s="6" t="s">
        <v>99</v>
      </c>
      <c r="I14" s="6" t="s">
        <v>113</v>
      </c>
      <c r="J14" s="6" t="s">
        <v>114</v>
      </c>
    </row>
    <row r="15" spans="1:10" x14ac:dyDescent="0.3">
      <c r="A15" s="7">
        <v>11</v>
      </c>
      <c r="B15" s="5" t="s">
        <v>115</v>
      </c>
      <c r="C15" s="7">
        <f t="shared" si="1"/>
        <v>112</v>
      </c>
      <c r="D15" s="7">
        <f t="shared" si="0"/>
        <v>121</v>
      </c>
      <c r="E15" s="7">
        <v>10</v>
      </c>
      <c r="F15" s="5" t="s">
        <v>68</v>
      </c>
      <c r="G15" s="8" t="s">
        <v>65</v>
      </c>
      <c r="H15" s="6" t="s">
        <v>99</v>
      </c>
      <c r="I15" s="6" t="s">
        <v>116</v>
      </c>
      <c r="J15" s="6" t="s">
        <v>117</v>
      </c>
    </row>
    <row r="16" spans="1:10" x14ac:dyDescent="0.3">
      <c r="A16" s="7">
        <v>12</v>
      </c>
      <c r="B16" s="5" t="s">
        <v>118</v>
      </c>
      <c r="C16" s="7">
        <f t="shared" si="1"/>
        <v>122</v>
      </c>
      <c r="D16" s="7">
        <f t="shared" si="0"/>
        <v>122</v>
      </c>
      <c r="E16" s="7">
        <v>1</v>
      </c>
      <c r="F16" s="5" t="s">
        <v>119</v>
      </c>
      <c r="G16" s="7" t="s">
        <v>98</v>
      </c>
      <c r="H16" s="6" t="s">
        <v>120</v>
      </c>
      <c r="I16" s="6" t="s">
        <v>121</v>
      </c>
      <c r="J16" s="6" t="s">
        <v>122</v>
      </c>
    </row>
    <row r="17" spans="1:10" x14ac:dyDescent="0.3">
      <c r="A17" s="7">
        <v>13</v>
      </c>
      <c r="B17" s="5" t="s">
        <v>123</v>
      </c>
      <c r="C17" s="7">
        <f t="shared" si="1"/>
        <v>123</v>
      </c>
      <c r="D17" s="7">
        <f t="shared" si="0"/>
        <v>137</v>
      </c>
      <c r="E17" s="7">
        <v>15</v>
      </c>
      <c r="F17" s="5" t="s">
        <v>124</v>
      </c>
      <c r="G17" s="7" t="s">
        <v>98</v>
      </c>
      <c r="H17" s="6" t="s">
        <v>125</v>
      </c>
      <c r="I17" s="6" t="s">
        <v>126</v>
      </c>
      <c r="J17" s="6" t="s">
        <v>127</v>
      </c>
    </row>
    <row r="18" spans="1:10" ht="26.4" x14ac:dyDescent="0.3">
      <c r="A18" s="7">
        <v>14</v>
      </c>
      <c r="B18" s="5" t="s">
        <v>128</v>
      </c>
      <c r="C18" s="7">
        <f t="shared" si="1"/>
        <v>138</v>
      </c>
      <c r="D18" s="7">
        <f t="shared" si="0"/>
        <v>151</v>
      </c>
      <c r="E18" s="7">
        <v>14</v>
      </c>
      <c r="F18" s="5" t="s">
        <v>75</v>
      </c>
      <c r="G18" s="7" t="s">
        <v>98</v>
      </c>
      <c r="H18" s="6" t="s">
        <v>76</v>
      </c>
      <c r="I18" s="6" t="s">
        <v>129</v>
      </c>
      <c r="J18" s="6" t="s">
        <v>130</v>
      </c>
    </row>
    <row r="19" spans="1:10" x14ac:dyDescent="0.3">
      <c r="A19" s="7">
        <v>15</v>
      </c>
      <c r="B19" s="5" t="s">
        <v>131</v>
      </c>
      <c r="C19" s="7">
        <f t="shared" si="1"/>
        <v>152</v>
      </c>
      <c r="D19" s="7">
        <f t="shared" si="0"/>
        <v>157</v>
      </c>
      <c r="E19" s="7">
        <v>6</v>
      </c>
      <c r="F19" s="5" t="s">
        <v>87</v>
      </c>
      <c r="G19" s="7" t="s">
        <v>98</v>
      </c>
      <c r="H19" s="6" t="s">
        <v>132</v>
      </c>
      <c r="I19" s="6" t="s">
        <v>133</v>
      </c>
      <c r="J19" s="6" t="s">
        <v>134</v>
      </c>
    </row>
    <row r="20" spans="1:10" ht="26.4" x14ac:dyDescent="0.3">
      <c r="A20" s="7">
        <v>16</v>
      </c>
      <c r="B20" s="5" t="s">
        <v>135</v>
      </c>
      <c r="C20" s="7">
        <f t="shared" si="1"/>
        <v>158</v>
      </c>
      <c r="D20" s="7">
        <f t="shared" si="0"/>
        <v>160</v>
      </c>
      <c r="E20" s="7">
        <v>3</v>
      </c>
      <c r="F20" s="5" t="s">
        <v>136</v>
      </c>
      <c r="G20" s="8" t="s">
        <v>65</v>
      </c>
      <c r="H20" s="6" t="s">
        <v>137</v>
      </c>
      <c r="I20" s="6" t="s">
        <v>138</v>
      </c>
      <c r="J20" s="6" t="s">
        <v>139</v>
      </c>
    </row>
    <row r="21" spans="1:10" x14ac:dyDescent="0.3">
      <c r="A21" s="7">
        <v>17</v>
      </c>
      <c r="B21" s="5" t="s">
        <v>140</v>
      </c>
      <c r="C21" s="7">
        <f t="shared" si="1"/>
        <v>161</v>
      </c>
      <c r="D21" s="7">
        <f t="shared" si="0"/>
        <v>172</v>
      </c>
      <c r="E21" s="7">
        <v>12</v>
      </c>
      <c r="F21" s="5" t="s">
        <v>141</v>
      </c>
      <c r="G21" s="7" t="s">
        <v>98</v>
      </c>
      <c r="H21" s="6" t="s">
        <v>142</v>
      </c>
      <c r="I21" s="6" t="s">
        <v>143</v>
      </c>
      <c r="J21" s="6" t="s">
        <v>144</v>
      </c>
    </row>
    <row r="22" spans="1:10" x14ac:dyDescent="0.3">
      <c r="A22" s="7">
        <v>18</v>
      </c>
      <c r="B22" s="5" t="s">
        <v>145</v>
      </c>
      <c r="C22" s="7">
        <f t="shared" si="1"/>
        <v>173</v>
      </c>
      <c r="D22" s="7">
        <f t="shared" si="0"/>
        <v>173</v>
      </c>
      <c r="E22" s="7">
        <v>1</v>
      </c>
      <c r="F22" s="5" t="s">
        <v>119</v>
      </c>
      <c r="G22" s="8" t="s">
        <v>65</v>
      </c>
      <c r="H22" s="6" t="s">
        <v>146</v>
      </c>
      <c r="I22" s="6" t="s">
        <v>147</v>
      </c>
      <c r="J22" s="6"/>
    </row>
    <row r="23" spans="1:10" ht="26.4" x14ac:dyDescent="0.3">
      <c r="A23" s="7">
        <v>19</v>
      </c>
      <c r="B23" s="5" t="s">
        <v>148</v>
      </c>
      <c r="C23" s="7">
        <f t="shared" si="1"/>
        <v>174</v>
      </c>
      <c r="D23" s="7">
        <f t="shared" si="0"/>
        <v>193</v>
      </c>
      <c r="E23" s="7">
        <v>20</v>
      </c>
      <c r="F23" s="5" t="s">
        <v>149</v>
      </c>
      <c r="G23" s="7" t="s">
        <v>98</v>
      </c>
      <c r="H23" s="6" t="s">
        <v>142</v>
      </c>
      <c r="I23" s="6" t="s">
        <v>150</v>
      </c>
      <c r="J23" s="6" t="s">
        <v>151</v>
      </c>
    </row>
    <row r="24" spans="1:10" x14ac:dyDescent="0.3">
      <c r="A24" s="7">
        <v>20</v>
      </c>
      <c r="B24" s="5" t="s">
        <v>152</v>
      </c>
      <c r="C24" s="7">
        <f t="shared" si="1"/>
        <v>194</v>
      </c>
      <c r="D24" s="7">
        <f t="shared" si="0"/>
        <v>194</v>
      </c>
      <c r="E24" s="7">
        <v>1</v>
      </c>
      <c r="F24" s="5" t="s">
        <v>119</v>
      </c>
      <c r="G24" s="8" t="s">
        <v>65</v>
      </c>
      <c r="H24" s="6" t="s">
        <v>146</v>
      </c>
      <c r="I24" s="6" t="s">
        <v>153</v>
      </c>
      <c r="J24" s="6"/>
    </row>
    <row r="25" spans="1:10" ht="26.4" x14ac:dyDescent="0.3">
      <c r="A25" s="7">
        <v>21</v>
      </c>
      <c r="B25" s="5" t="s">
        <v>154</v>
      </c>
      <c r="C25" s="7">
        <f t="shared" si="1"/>
        <v>195</v>
      </c>
      <c r="D25" s="7">
        <f t="shared" si="0"/>
        <v>214</v>
      </c>
      <c r="E25" s="7">
        <v>20</v>
      </c>
      <c r="F25" s="5" t="s">
        <v>149</v>
      </c>
      <c r="G25" s="7" t="s">
        <v>98</v>
      </c>
      <c r="H25" s="6" t="s">
        <v>142</v>
      </c>
      <c r="I25" s="6" t="s">
        <v>155</v>
      </c>
      <c r="J25" s="6" t="s">
        <v>156</v>
      </c>
    </row>
    <row r="26" spans="1:10" x14ac:dyDescent="0.3">
      <c r="A26" s="7">
        <v>22</v>
      </c>
      <c r="B26" s="5" t="s">
        <v>157</v>
      </c>
      <c r="C26" s="7">
        <f t="shared" si="1"/>
        <v>215</v>
      </c>
      <c r="D26" s="7">
        <f t="shared" si="0"/>
        <v>215</v>
      </c>
      <c r="E26" s="7">
        <v>1</v>
      </c>
      <c r="F26" s="5" t="s">
        <v>119</v>
      </c>
      <c r="G26" s="8" t="s">
        <v>65</v>
      </c>
      <c r="H26" s="6" t="s">
        <v>146</v>
      </c>
      <c r="I26" s="6" t="s">
        <v>158</v>
      </c>
      <c r="J26" s="6"/>
    </row>
    <row r="27" spans="1:10" ht="26.4" x14ac:dyDescent="0.3">
      <c r="A27" s="7">
        <v>23</v>
      </c>
      <c r="B27" s="5" t="s">
        <v>159</v>
      </c>
      <c r="C27" s="7">
        <f t="shared" si="1"/>
        <v>216</v>
      </c>
      <c r="D27" s="7">
        <f t="shared" si="0"/>
        <v>227</v>
      </c>
      <c r="E27" s="7">
        <v>12</v>
      </c>
      <c r="F27" s="5" t="s">
        <v>141</v>
      </c>
      <c r="G27" s="8" t="s">
        <v>65</v>
      </c>
      <c r="H27" s="6" t="s">
        <v>142</v>
      </c>
      <c r="I27" s="6" t="s">
        <v>160</v>
      </c>
      <c r="J27" s="6" t="s">
        <v>161</v>
      </c>
    </row>
    <row r="28" spans="1:10" x14ac:dyDescent="0.3">
      <c r="A28" s="7">
        <v>24</v>
      </c>
      <c r="B28" s="5" t="s">
        <v>162</v>
      </c>
      <c r="C28" s="7">
        <f t="shared" si="1"/>
        <v>228</v>
      </c>
      <c r="D28" s="7">
        <f t="shared" si="0"/>
        <v>228</v>
      </c>
      <c r="E28" s="7">
        <v>1</v>
      </c>
      <c r="F28" s="5" t="s">
        <v>119</v>
      </c>
      <c r="G28" s="8" t="s">
        <v>65</v>
      </c>
      <c r="H28" s="6" t="s">
        <v>146</v>
      </c>
      <c r="I28" s="6" t="s">
        <v>163</v>
      </c>
      <c r="J28" s="6"/>
    </row>
    <row r="29" spans="1:10" x14ac:dyDescent="0.3">
      <c r="A29" s="7">
        <v>25</v>
      </c>
      <c r="B29" s="5" t="s">
        <v>164</v>
      </c>
      <c r="C29" s="7">
        <f t="shared" si="1"/>
        <v>229</v>
      </c>
      <c r="D29" s="7">
        <f t="shared" si="0"/>
        <v>240</v>
      </c>
      <c r="E29" s="7">
        <v>12</v>
      </c>
      <c r="F29" s="5" t="s">
        <v>141</v>
      </c>
      <c r="G29" s="8" t="s">
        <v>65</v>
      </c>
      <c r="H29" s="6" t="s">
        <v>142</v>
      </c>
      <c r="I29" s="6" t="s">
        <v>165</v>
      </c>
      <c r="J29" s="6" t="s">
        <v>166</v>
      </c>
    </row>
    <row r="30" spans="1:10" x14ac:dyDescent="0.3">
      <c r="A30" s="7">
        <v>26</v>
      </c>
      <c r="B30" s="5" t="s">
        <v>167</v>
      </c>
      <c r="C30" s="7">
        <f t="shared" si="1"/>
        <v>241</v>
      </c>
      <c r="D30" s="7">
        <f t="shared" si="0"/>
        <v>246</v>
      </c>
      <c r="E30" s="7">
        <v>6</v>
      </c>
      <c r="F30" s="5" t="s">
        <v>87</v>
      </c>
      <c r="G30" s="7" t="s">
        <v>98</v>
      </c>
      <c r="H30" s="6" t="s">
        <v>168</v>
      </c>
      <c r="I30" s="6" t="s">
        <v>169</v>
      </c>
      <c r="J30" s="6" t="s">
        <v>170</v>
      </c>
    </row>
    <row r="31" spans="1:10" x14ac:dyDescent="0.3">
      <c r="A31" s="7">
        <v>27</v>
      </c>
      <c r="B31" s="5" t="s">
        <v>171</v>
      </c>
      <c r="C31" s="7">
        <f t="shared" si="1"/>
        <v>247</v>
      </c>
      <c r="D31" s="7">
        <f t="shared" si="0"/>
        <v>247</v>
      </c>
      <c r="E31" s="7">
        <v>1</v>
      </c>
      <c r="F31" s="5" t="s">
        <v>119</v>
      </c>
      <c r="G31" s="8" t="s">
        <v>65</v>
      </c>
      <c r="H31" s="6" t="s">
        <v>172</v>
      </c>
      <c r="I31" s="6" t="s">
        <v>173</v>
      </c>
      <c r="J31" s="6" t="s">
        <v>174</v>
      </c>
    </row>
    <row r="32" spans="1:10" x14ac:dyDescent="0.3">
      <c r="A32" s="7">
        <v>28</v>
      </c>
      <c r="B32" s="5" t="s">
        <v>175</v>
      </c>
      <c r="C32" s="7">
        <f t="shared" si="1"/>
        <v>248</v>
      </c>
      <c r="D32" s="7">
        <f t="shared" si="0"/>
        <v>248</v>
      </c>
      <c r="E32" s="7">
        <v>1</v>
      </c>
      <c r="F32" s="5" t="s">
        <v>119</v>
      </c>
      <c r="G32" s="8" t="s">
        <v>65</v>
      </c>
      <c r="H32" s="6" t="s">
        <v>172</v>
      </c>
      <c r="I32" s="6" t="s">
        <v>176</v>
      </c>
      <c r="J32" s="6" t="s">
        <v>177</v>
      </c>
    </row>
    <row r="33" spans="1:10" ht="26.4" x14ac:dyDescent="0.3">
      <c r="A33" s="7">
        <v>29</v>
      </c>
      <c r="B33" s="5" t="s">
        <v>178</v>
      </c>
      <c r="C33" s="7">
        <f t="shared" si="1"/>
        <v>249</v>
      </c>
      <c r="D33" s="7">
        <f t="shared" si="0"/>
        <v>249</v>
      </c>
      <c r="E33" s="7">
        <v>1</v>
      </c>
      <c r="F33" s="5" t="s">
        <v>119</v>
      </c>
      <c r="G33" s="8" t="s">
        <v>65</v>
      </c>
      <c r="H33" s="6" t="s">
        <v>179</v>
      </c>
      <c r="I33" s="6" t="s">
        <v>180</v>
      </c>
      <c r="J33" s="6" t="s">
        <v>181</v>
      </c>
    </row>
    <row r="34" spans="1:10" ht="26.4" x14ac:dyDescent="0.3">
      <c r="A34" s="7">
        <v>30</v>
      </c>
      <c r="B34" s="5" t="s">
        <v>182</v>
      </c>
      <c r="C34" s="7">
        <f t="shared" si="1"/>
        <v>250</v>
      </c>
      <c r="D34" s="7">
        <f t="shared" si="0"/>
        <v>259</v>
      </c>
      <c r="E34" s="7">
        <v>10</v>
      </c>
      <c r="F34" s="5" t="s">
        <v>68</v>
      </c>
      <c r="G34" s="7" t="s">
        <v>98</v>
      </c>
      <c r="H34" s="6" t="s">
        <v>99</v>
      </c>
      <c r="I34" s="6" t="s">
        <v>183</v>
      </c>
      <c r="J34" s="6" t="s">
        <v>184</v>
      </c>
    </row>
    <row r="35" spans="1:10" x14ac:dyDescent="0.3">
      <c r="A35" s="7">
        <v>31</v>
      </c>
      <c r="B35" s="5" t="s">
        <v>185</v>
      </c>
      <c r="C35" s="7">
        <f t="shared" si="1"/>
        <v>260</v>
      </c>
      <c r="D35" s="7">
        <f t="shared" si="0"/>
        <v>260</v>
      </c>
      <c r="E35" s="7">
        <v>1</v>
      </c>
      <c r="F35" s="5" t="s">
        <v>119</v>
      </c>
      <c r="G35" s="7" t="s">
        <v>98</v>
      </c>
      <c r="H35" s="6" t="s">
        <v>186</v>
      </c>
      <c r="I35" s="6" t="s">
        <v>187</v>
      </c>
      <c r="J35" s="6"/>
    </row>
    <row r="36" spans="1:10" x14ac:dyDescent="0.3">
      <c r="A36" s="7">
        <v>32</v>
      </c>
      <c r="B36" s="5" t="s">
        <v>188</v>
      </c>
      <c r="C36" s="7">
        <f t="shared" si="1"/>
        <v>261</v>
      </c>
      <c r="D36" s="7">
        <f t="shared" si="0"/>
        <v>261</v>
      </c>
      <c r="E36" s="7">
        <v>1</v>
      </c>
      <c r="F36" s="5" t="s">
        <v>119</v>
      </c>
      <c r="G36" s="8" t="s">
        <v>65</v>
      </c>
      <c r="H36" s="6" t="s">
        <v>172</v>
      </c>
      <c r="I36" s="6" t="s">
        <v>189</v>
      </c>
      <c r="J36" s="6" t="s">
        <v>190</v>
      </c>
    </row>
    <row r="37" spans="1:10" ht="26.4" x14ac:dyDescent="0.3">
      <c r="A37" s="7">
        <v>33</v>
      </c>
      <c r="B37" s="5" t="s">
        <v>191</v>
      </c>
      <c r="C37" s="7">
        <f t="shared" si="1"/>
        <v>262</v>
      </c>
      <c r="D37" s="7">
        <f t="shared" si="0"/>
        <v>351</v>
      </c>
      <c r="E37" s="7">
        <v>90</v>
      </c>
      <c r="F37" s="5" t="s">
        <v>192</v>
      </c>
      <c r="G37" s="7" t="s">
        <v>98</v>
      </c>
      <c r="H37" s="6" t="s">
        <v>93</v>
      </c>
      <c r="I37" s="6" t="s">
        <v>193</v>
      </c>
      <c r="J37" s="6" t="s">
        <v>194</v>
      </c>
    </row>
    <row r="38" spans="1:10" x14ac:dyDescent="0.3">
      <c r="A38" s="7">
        <v>34</v>
      </c>
      <c r="B38" s="5" t="s">
        <v>195</v>
      </c>
      <c r="C38" s="7">
        <f t="shared" si="1"/>
        <v>352</v>
      </c>
      <c r="D38" s="7">
        <f t="shared" si="0"/>
        <v>441</v>
      </c>
      <c r="E38" s="7">
        <v>90</v>
      </c>
      <c r="F38" s="5" t="s">
        <v>192</v>
      </c>
      <c r="G38" s="7" t="s">
        <v>98</v>
      </c>
      <c r="H38" s="6" t="s">
        <v>93</v>
      </c>
      <c r="I38" s="6" t="s">
        <v>196</v>
      </c>
      <c r="J38" s="6" t="s">
        <v>197</v>
      </c>
    </row>
    <row r="39" spans="1:10" x14ac:dyDescent="0.3">
      <c r="A39" s="7">
        <v>35</v>
      </c>
      <c r="B39" s="5" t="s">
        <v>198</v>
      </c>
      <c r="C39" s="7">
        <f t="shared" si="1"/>
        <v>442</v>
      </c>
      <c r="D39" s="7">
        <f t="shared" si="0"/>
        <v>531</v>
      </c>
      <c r="E39" s="7">
        <v>90</v>
      </c>
      <c r="F39" s="5" t="s">
        <v>192</v>
      </c>
      <c r="G39" s="7" t="s">
        <v>98</v>
      </c>
      <c r="H39" s="6" t="s">
        <v>93</v>
      </c>
      <c r="I39" s="6" t="s">
        <v>196</v>
      </c>
      <c r="J39" s="6" t="s">
        <v>199</v>
      </c>
    </row>
    <row r="40" spans="1:10" x14ac:dyDescent="0.3">
      <c r="A40" s="7">
        <v>36</v>
      </c>
      <c r="B40" s="5" t="s">
        <v>200</v>
      </c>
      <c r="C40" s="7">
        <f t="shared" si="1"/>
        <v>532</v>
      </c>
      <c r="D40" s="7">
        <f t="shared" si="0"/>
        <v>621</v>
      </c>
      <c r="E40" s="7">
        <v>90</v>
      </c>
      <c r="F40" s="5" t="s">
        <v>192</v>
      </c>
      <c r="G40" s="7" t="s">
        <v>98</v>
      </c>
      <c r="H40" s="6" t="s">
        <v>93</v>
      </c>
      <c r="I40" s="6" t="s">
        <v>196</v>
      </c>
      <c r="J40" s="6" t="s">
        <v>201</v>
      </c>
    </row>
    <row r="41" spans="1:10" ht="26.4" x14ac:dyDescent="0.3">
      <c r="A41" s="7">
        <v>37</v>
      </c>
      <c r="B41" s="5" t="s">
        <v>202</v>
      </c>
      <c r="C41" s="7">
        <f t="shared" si="1"/>
        <v>622</v>
      </c>
      <c r="D41" s="7">
        <f t="shared" si="0"/>
        <v>631</v>
      </c>
      <c r="E41" s="7">
        <v>10</v>
      </c>
      <c r="F41" s="5" t="s">
        <v>68</v>
      </c>
      <c r="G41" s="7" t="s">
        <v>98</v>
      </c>
      <c r="H41" s="6" t="s">
        <v>99</v>
      </c>
      <c r="I41" s="6" t="s">
        <v>203</v>
      </c>
      <c r="J41" s="6" t="s">
        <v>204</v>
      </c>
    </row>
    <row r="43" spans="1:10" x14ac:dyDescent="0.3">
      <c r="B43" s="2" t="s">
        <v>78</v>
      </c>
      <c r="E43" s="9">
        <f>SUM(E5:E41)</f>
        <v>631</v>
      </c>
      <c r="F43" s="9"/>
    </row>
  </sheetData>
  <mergeCells count="1">
    <mergeCell ref="A2:J2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0"/>
  <sheetViews>
    <sheetView zoomScaleNormal="100" workbookViewId="0">
      <pane ySplit="3" topLeftCell="A4" activePane="bottomLeft" state="frozen"/>
      <selection pane="bottomLeft" activeCell="F20" sqref="F20"/>
    </sheetView>
  </sheetViews>
  <sheetFormatPr defaultColWidth="8.6640625" defaultRowHeight="14.4" x14ac:dyDescent="0.3"/>
  <cols>
    <col min="1" max="1" width="5" customWidth="1"/>
    <col min="2" max="2" width="34" customWidth="1"/>
    <col min="3" max="4" width="8" customWidth="1"/>
    <col min="5" max="5" width="9" customWidth="1"/>
    <col min="6" max="6" width="14" customWidth="1"/>
    <col min="7" max="7" width="6" customWidth="1"/>
    <col min="8" max="8" width="40" customWidth="1"/>
    <col min="9" max="9" width="72" customWidth="1"/>
    <col min="10" max="10" width="46" customWidth="1"/>
  </cols>
  <sheetData>
    <row r="1" spans="1:10" ht="17.399999999999999" x14ac:dyDescent="0.3">
      <c r="A1" s="1" t="s">
        <v>205</v>
      </c>
    </row>
    <row r="3" spans="1:10" x14ac:dyDescent="0.3">
      <c r="A3" s="4" t="s">
        <v>53</v>
      </c>
      <c r="B3" s="4" t="s">
        <v>54</v>
      </c>
      <c r="C3" s="4" t="s">
        <v>55</v>
      </c>
      <c r="D3" s="4" t="s">
        <v>56</v>
      </c>
      <c r="E3" s="4" t="s">
        <v>57</v>
      </c>
      <c r="F3" s="4" t="s">
        <v>58</v>
      </c>
      <c r="G3" s="4" t="s">
        <v>59</v>
      </c>
      <c r="H3" s="4" t="s">
        <v>60</v>
      </c>
      <c r="I3" s="4" t="s">
        <v>61</v>
      </c>
      <c r="J3" s="4" t="s">
        <v>62</v>
      </c>
    </row>
    <row r="4" spans="1:10" x14ac:dyDescent="0.3">
      <c r="A4" s="7">
        <v>1</v>
      </c>
      <c r="B4" s="5" t="s">
        <v>63</v>
      </c>
      <c r="C4" s="7">
        <v>1</v>
      </c>
      <c r="D4" s="7">
        <f t="shared" ref="D4:D18" si="0">C4+E4-1</f>
        <v>5</v>
      </c>
      <c r="E4" s="7">
        <v>5</v>
      </c>
      <c r="F4" s="5" t="s">
        <v>64</v>
      </c>
      <c r="G4" s="8" t="s">
        <v>65</v>
      </c>
      <c r="H4" s="6" t="s">
        <v>32</v>
      </c>
      <c r="I4" s="6" t="s">
        <v>206</v>
      </c>
      <c r="J4" s="6"/>
    </row>
    <row r="5" spans="1:10" x14ac:dyDescent="0.3">
      <c r="A5" s="7">
        <v>2</v>
      </c>
      <c r="B5" s="5" t="s">
        <v>67</v>
      </c>
      <c r="C5" s="7">
        <f t="shared" ref="C5:C18" si="1">D4+1</f>
        <v>6</v>
      </c>
      <c r="D5" s="7">
        <f t="shared" si="0"/>
        <v>15</v>
      </c>
      <c r="E5" s="7">
        <v>10</v>
      </c>
      <c r="F5" s="5" t="s">
        <v>68</v>
      </c>
      <c r="G5" s="8" t="s">
        <v>65</v>
      </c>
      <c r="H5" s="6" t="s">
        <v>82</v>
      </c>
      <c r="I5" s="6" t="s">
        <v>207</v>
      </c>
      <c r="J5" s="6"/>
    </row>
    <row r="6" spans="1:10" x14ac:dyDescent="0.3">
      <c r="A6" s="7">
        <v>3</v>
      </c>
      <c r="B6" s="5" t="s">
        <v>84</v>
      </c>
      <c r="C6" s="7">
        <f t="shared" si="1"/>
        <v>16</v>
      </c>
      <c r="D6" s="7">
        <f t="shared" si="0"/>
        <v>25</v>
      </c>
      <c r="E6" s="7">
        <v>10</v>
      </c>
      <c r="F6" s="5" t="s">
        <v>68</v>
      </c>
      <c r="G6" s="8" t="s">
        <v>65</v>
      </c>
      <c r="H6" s="6" t="s">
        <v>208</v>
      </c>
      <c r="I6" s="6" t="s">
        <v>209</v>
      </c>
      <c r="J6" s="6"/>
    </row>
    <row r="7" spans="1:10" x14ac:dyDescent="0.3">
      <c r="A7" s="7">
        <v>4</v>
      </c>
      <c r="B7" s="5" t="s">
        <v>210</v>
      </c>
      <c r="C7" s="7">
        <f t="shared" si="1"/>
        <v>26</v>
      </c>
      <c r="D7" s="7">
        <f t="shared" si="0"/>
        <v>50</v>
      </c>
      <c r="E7" s="7">
        <v>25</v>
      </c>
      <c r="F7" s="5" t="s">
        <v>211</v>
      </c>
      <c r="G7" s="8" t="s">
        <v>212</v>
      </c>
      <c r="H7" s="6" t="s">
        <v>213</v>
      </c>
      <c r="I7" s="6" t="s">
        <v>214</v>
      </c>
      <c r="J7" s="6" t="s">
        <v>215</v>
      </c>
    </row>
    <row r="8" spans="1:10" x14ac:dyDescent="0.3">
      <c r="A8" s="7">
        <v>5</v>
      </c>
      <c r="B8" s="5" t="s">
        <v>216</v>
      </c>
      <c r="C8" s="7">
        <f t="shared" si="1"/>
        <v>51</v>
      </c>
      <c r="D8" s="7">
        <f t="shared" si="0"/>
        <v>55</v>
      </c>
      <c r="E8" s="7">
        <v>5</v>
      </c>
      <c r="F8" s="5" t="s">
        <v>217</v>
      </c>
      <c r="G8" s="7" t="s">
        <v>98</v>
      </c>
      <c r="H8" s="6" t="s">
        <v>99</v>
      </c>
      <c r="I8" s="6" t="s">
        <v>218</v>
      </c>
      <c r="J8" s="6"/>
    </row>
    <row r="9" spans="1:10" x14ac:dyDescent="0.3">
      <c r="A9" s="7">
        <v>6</v>
      </c>
      <c r="B9" s="5" t="s">
        <v>219</v>
      </c>
      <c r="C9" s="7">
        <f t="shared" si="1"/>
        <v>56</v>
      </c>
      <c r="D9" s="7">
        <f t="shared" si="0"/>
        <v>80</v>
      </c>
      <c r="E9" s="7">
        <v>25</v>
      </c>
      <c r="F9" s="5" t="s">
        <v>211</v>
      </c>
      <c r="G9" s="8" t="s">
        <v>212</v>
      </c>
      <c r="H9" s="6" t="s">
        <v>220</v>
      </c>
      <c r="I9" s="6" t="s">
        <v>221</v>
      </c>
      <c r="J9" s="6" t="s">
        <v>215</v>
      </c>
    </row>
    <row r="10" spans="1:10" x14ac:dyDescent="0.3">
      <c r="A10" s="7">
        <v>7</v>
      </c>
      <c r="B10" s="5" t="s">
        <v>222</v>
      </c>
      <c r="C10" s="7">
        <f t="shared" si="1"/>
        <v>81</v>
      </c>
      <c r="D10" s="7">
        <f t="shared" si="0"/>
        <v>110</v>
      </c>
      <c r="E10" s="7">
        <v>30</v>
      </c>
      <c r="F10" s="5" t="s">
        <v>92</v>
      </c>
      <c r="G10" s="8" t="s">
        <v>212</v>
      </c>
      <c r="H10" s="6" t="s">
        <v>223</v>
      </c>
      <c r="I10" s="6" t="s">
        <v>224</v>
      </c>
      <c r="J10" s="6" t="s">
        <v>225</v>
      </c>
    </row>
    <row r="11" spans="1:10" x14ac:dyDescent="0.3">
      <c r="A11" s="7">
        <v>8</v>
      </c>
      <c r="B11" s="5" t="s">
        <v>226</v>
      </c>
      <c r="C11" s="7">
        <f t="shared" si="1"/>
        <v>111</v>
      </c>
      <c r="D11" s="7">
        <f t="shared" si="0"/>
        <v>111</v>
      </c>
      <c r="E11" s="7">
        <v>1</v>
      </c>
      <c r="F11" s="5" t="s">
        <v>119</v>
      </c>
      <c r="G11" s="8" t="s">
        <v>65</v>
      </c>
      <c r="H11" s="6" t="s">
        <v>146</v>
      </c>
      <c r="I11" s="6" t="s">
        <v>227</v>
      </c>
      <c r="J11" s="6"/>
    </row>
    <row r="12" spans="1:10" ht="26.4" x14ac:dyDescent="0.3">
      <c r="A12" s="7">
        <v>9</v>
      </c>
      <c r="B12" s="5" t="s">
        <v>228</v>
      </c>
      <c r="C12" s="7">
        <f t="shared" si="1"/>
        <v>112</v>
      </c>
      <c r="D12" s="7">
        <f t="shared" si="0"/>
        <v>123</v>
      </c>
      <c r="E12" s="7">
        <v>12</v>
      </c>
      <c r="F12" s="5" t="s">
        <v>141</v>
      </c>
      <c r="G12" s="8" t="s">
        <v>65</v>
      </c>
      <c r="H12" s="6" t="s">
        <v>142</v>
      </c>
      <c r="I12" s="6" t="s">
        <v>229</v>
      </c>
      <c r="J12" s="6" t="s">
        <v>230</v>
      </c>
    </row>
    <row r="13" spans="1:10" x14ac:dyDescent="0.3">
      <c r="A13" s="7">
        <v>10</v>
      </c>
      <c r="B13" s="5" t="s">
        <v>231</v>
      </c>
      <c r="C13" s="7">
        <f t="shared" si="1"/>
        <v>124</v>
      </c>
      <c r="D13" s="7">
        <f t="shared" si="0"/>
        <v>124</v>
      </c>
      <c r="E13" s="7">
        <v>1</v>
      </c>
      <c r="F13" s="5" t="s">
        <v>119</v>
      </c>
      <c r="G13" s="8" t="s">
        <v>65</v>
      </c>
      <c r="H13" s="6" t="s">
        <v>146</v>
      </c>
      <c r="I13" s="6" t="s">
        <v>232</v>
      </c>
      <c r="J13" s="6"/>
    </row>
    <row r="14" spans="1:10" ht="26.4" x14ac:dyDescent="0.3">
      <c r="A14" s="7">
        <v>11</v>
      </c>
      <c r="B14" s="5" t="s">
        <v>233</v>
      </c>
      <c r="C14" s="7">
        <f t="shared" si="1"/>
        <v>125</v>
      </c>
      <c r="D14" s="7">
        <f t="shared" si="0"/>
        <v>144</v>
      </c>
      <c r="E14" s="7">
        <v>20</v>
      </c>
      <c r="F14" s="5" t="s">
        <v>149</v>
      </c>
      <c r="G14" s="8" t="s">
        <v>65</v>
      </c>
      <c r="H14" s="6" t="s">
        <v>142</v>
      </c>
      <c r="I14" s="6" t="s">
        <v>234</v>
      </c>
      <c r="J14" s="6" t="s">
        <v>235</v>
      </c>
    </row>
    <row r="15" spans="1:10" x14ac:dyDescent="0.3">
      <c r="A15" s="7">
        <v>12</v>
      </c>
      <c r="B15" s="5" t="s">
        <v>236</v>
      </c>
      <c r="C15" s="7">
        <f t="shared" si="1"/>
        <v>145</v>
      </c>
      <c r="D15" s="7">
        <f t="shared" si="0"/>
        <v>150</v>
      </c>
      <c r="E15" s="7">
        <v>6</v>
      </c>
      <c r="F15" s="5" t="s">
        <v>87</v>
      </c>
      <c r="G15" s="8" t="s">
        <v>65</v>
      </c>
      <c r="H15" s="6" t="s">
        <v>237</v>
      </c>
      <c r="I15" s="6" t="s">
        <v>238</v>
      </c>
      <c r="J15" s="6" t="s">
        <v>239</v>
      </c>
    </row>
    <row r="16" spans="1:10" x14ac:dyDescent="0.3">
      <c r="A16" s="7">
        <v>13</v>
      </c>
      <c r="B16" s="5" t="s">
        <v>240</v>
      </c>
      <c r="C16" s="7">
        <f t="shared" si="1"/>
        <v>151</v>
      </c>
      <c r="D16" s="7">
        <f t="shared" si="0"/>
        <v>170</v>
      </c>
      <c r="E16" s="7">
        <v>20</v>
      </c>
      <c r="F16" s="5" t="s">
        <v>241</v>
      </c>
      <c r="G16" s="8" t="s">
        <v>65</v>
      </c>
      <c r="H16" s="6" t="s">
        <v>142</v>
      </c>
      <c r="I16" s="6" t="s">
        <v>242</v>
      </c>
      <c r="J16" s="6" t="s">
        <v>243</v>
      </c>
    </row>
    <row r="17" spans="1:10" x14ac:dyDescent="0.3">
      <c r="A17" s="7">
        <v>14</v>
      </c>
      <c r="B17" s="5" t="s">
        <v>244</v>
      </c>
      <c r="C17" s="7">
        <f t="shared" si="1"/>
        <v>171</v>
      </c>
      <c r="D17" s="7">
        <f t="shared" si="0"/>
        <v>171</v>
      </c>
      <c r="E17" s="7">
        <v>1</v>
      </c>
      <c r="F17" s="5" t="s">
        <v>119</v>
      </c>
      <c r="G17" s="8" t="s">
        <v>65</v>
      </c>
      <c r="H17" s="6" t="s">
        <v>146</v>
      </c>
      <c r="I17" s="6" t="s">
        <v>245</v>
      </c>
      <c r="J17" s="6"/>
    </row>
    <row r="18" spans="1:10" ht="26.4" x14ac:dyDescent="0.3">
      <c r="A18" s="7">
        <v>15</v>
      </c>
      <c r="B18" s="5" t="s">
        <v>246</v>
      </c>
      <c r="C18" s="7">
        <f t="shared" si="1"/>
        <v>172</v>
      </c>
      <c r="D18" s="7">
        <f t="shared" si="0"/>
        <v>191</v>
      </c>
      <c r="E18" s="7">
        <v>20</v>
      </c>
      <c r="F18" s="5" t="s">
        <v>149</v>
      </c>
      <c r="G18" s="8" t="s">
        <v>65</v>
      </c>
      <c r="H18" s="6" t="s">
        <v>142</v>
      </c>
      <c r="I18" s="6" t="s">
        <v>247</v>
      </c>
      <c r="J18" s="6" t="s">
        <v>248</v>
      </c>
    </row>
    <row r="20" spans="1:10" x14ac:dyDescent="0.3">
      <c r="B20" s="2" t="s">
        <v>78</v>
      </c>
      <c r="E20" s="9">
        <f>SUM(E4:E18)</f>
        <v>191</v>
      </c>
      <c r="F20" s="9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3"/>
  <sheetViews>
    <sheetView zoomScaleNormal="100" workbookViewId="0">
      <pane ySplit="3" topLeftCell="A4" activePane="bottomLeft" state="frozen"/>
      <selection pane="bottomLeft" activeCell="C21" sqref="C21"/>
    </sheetView>
  </sheetViews>
  <sheetFormatPr defaultColWidth="8.6640625" defaultRowHeight="14.4" x14ac:dyDescent="0.3"/>
  <cols>
    <col min="1" max="1" width="5" customWidth="1"/>
    <col min="2" max="2" width="34" customWidth="1"/>
    <col min="3" max="4" width="8" customWidth="1"/>
    <col min="5" max="5" width="9" customWidth="1"/>
    <col min="6" max="6" width="14" customWidth="1"/>
    <col min="7" max="7" width="6" customWidth="1"/>
    <col min="8" max="8" width="40" customWidth="1"/>
    <col min="9" max="9" width="72" customWidth="1"/>
    <col min="10" max="10" width="46" customWidth="1"/>
  </cols>
  <sheetData>
    <row r="1" spans="1:10" ht="17.399999999999999" x14ac:dyDescent="0.3">
      <c r="A1" s="1" t="s">
        <v>249</v>
      </c>
      <c r="F1" s="12" t="s">
        <v>307</v>
      </c>
    </row>
    <row r="3" spans="1:10" x14ac:dyDescent="0.3">
      <c r="A3" s="4" t="s">
        <v>53</v>
      </c>
      <c r="B3" s="4" t="s">
        <v>54</v>
      </c>
      <c r="C3" s="4" t="s">
        <v>55</v>
      </c>
      <c r="D3" s="4" t="s">
        <v>56</v>
      </c>
      <c r="E3" s="4" t="s">
        <v>57</v>
      </c>
      <c r="F3" s="4" t="s">
        <v>58</v>
      </c>
      <c r="G3" s="4" t="s">
        <v>59</v>
      </c>
      <c r="H3" s="4" t="s">
        <v>60</v>
      </c>
      <c r="I3" s="4" t="s">
        <v>61</v>
      </c>
      <c r="J3" s="4" t="s">
        <v>62</v>
      </c>
    </row>
    <row r="4" spans="1:10" x14ac:dyDescent="0.3">
      <c r="A4" s="7">
        <v>1</v>
      </c>
      <c r="B4" s="5" t="s">
        <v>63</v>
      </c>
      <c r="C4" s="7">
        <v>1</v>
      </c>
      <c r="D4" s="7">
        <f t="shared" ref="D4:D11" si="0">C4+E4-1</f>
        <v>5</v>
      </c>
      <c r="E4" s="7">
        <v>5</v>
      </c>
      <c r="F4" s="5" t="s">
        <v>64</v>
      </c>
      <c r="G4" s="8" t="s">
        <v>65</v>
      </c>
      <c r="H4" s="6" t="s">
        <v>36</v>
      </c>
      <c r="I4" s="6" t="s">
        <v>250</v>
      </c>
      <c r="J4" s="6"/>
    </row>
    <row r="5" spans="1:10" x14ac:dyDescent="0.3">
      <c r="A5" s="7">
        <v>2</v>
      </c>
      <c r="B5" s="5" t="s">
        <v>67</v>
      </c>
      <c r="C5" s="7">
        <f t="shared" ref="C5:C11" si="1">D4+1</f>
        <v>6</v>
      </c>
      <c r="D5" s="7">
        <f t="shared" si="0"/>
        <v>15</v>
      </c>
      <c r="E5" s="7">
        <v>10</v>
      </c>
      <c r="F5" s="5" t="s">
        <v>68</v>
      </c>
      <c r="G5" s="8" t="s">
        <v>65</v>
      </c>
      <c r="H5" s="6" t="s">
        <v>82</v>
      </c>
      <c r="I5" s="6" t="s">
        <v>207</v>
      </c>
      <c r="J5" s="6"/>
    </row>
    <row r="6" spans="1:10" x14ac:dyDescent="0.3">
      <c r="A6" s="7">
        <v>3</v>
      </c>
      <c r="B6" s="5" t="s">
        <v>84</v>
      </c>
      <c r="C6" s="7">
        <f t="shared" si="1"/>
        <v>16</v>
      </c>
      <c r="D6" s="7">
        <f t="shared" si="0"/>
        <v>25</v>
      </c>
      <c r="E6" s="7">
        <v>10</v>
      </c>
      <c r="F6" s="5" t="s">
        <v>68</v>
      </c>
      <c r="G6" s="8" t="s">
        <v>65</v>
      </c>
      <c r="H6" s="6" t="s">
        <v>208</v>
      </c>
      <c r="I6" s="6" t="s">
        <v>209</v>
      </c>
      <c r="J6" s="6"/>
    </row>
    <row r="7" spans="1:10" ht="26.4" x14ac:dyDescent="0.3">
      <c r="A7" s="7">
        <v>4</v>
      </c>
      <c r="B7" s="5" t="s">
        <v>251</v>
      </c>
      <c r="C7" s="7">
        <f t="shared" si="1"/>
        <v>26</v>
      </c>
      <c r="D7" s="7">
        <f t="shared" si="0"/>
        <v>31</v>
      </c>
      <c r="E7" s="7">
        <v>6</v>
      </c>
      <c r="F7" s="5" t="s">
        <v>87</v>
      </c>
      <c r="G7" s="8" t="s">
        <v>65</v>
      </c>
      <c r="H7" s="6" t="s">
        <v>252</v>
      </c>
      <c r="I7" s="6" t="s">
        <v>253</v>
      </c>
      <c r="J7" s="6" t="s">
        <v>254</v>
      </c>
    </row>
    <row r="8" spans="1:10" x14ac:dyDescent="0.3">
      <c r="A8" s="7">
        <v>5</v>
      </c>
      <c r="B8" s="5" t="s">
        <v>255</v>
      </c>
      <c r="C8" s="7">
        <f t="shared" si="1"/>
        <v>32</v>
      </c>
      <c r="D8" s="7">
        <f t="shared" si="0"/>
        <v>32</v>
      </c>
      <c r="E8" s="7">
        <v>1</v>
      </c>
      <c r="F8" s="5" t="s">
        <v>119</v>
      </c>
      <c r="G8" s="8" t="s">
        <v>65</v>
      </c>
      <c r="H8" s="6" t="s">
        <v>146</v>
      </c>
      <c r="I8" s="6" t="s">
        <v>256</v>
      </c>
      <c r="J8" s="6"/>
    </row>
    <row r="9" spans="1:10" ht="26.4" x14ac:dyDescent="0.3">
      <c r="A9" s="7">
        <v>6</v>
      </c>
      <c r="B9" s="5" t="s">
        <v>257</v>
      </c>
      <c r="C9" s="7">
        <f t="shared" si="1"/>
        <v>33</v>
      </c>
      <c r="D9" s="7">
        <f t="shared" si="0"/>
        <v>52</v>
      </c>
      <c r="E9" s="7">
        <v>20</v>
      </c>
      <c r="F9" s="5" t="s">
        <v>149</v>
      </c>
      <c r="G9" s="8" t="s">
        <v>65</v>
      </c>
      <c r="H9" s="6" t="s">
        <v>142</v>
      </c>
      <c r="I9" s="6" t="s">
        <v>258</v>
      </c>
      <c r="J9" s="6" t="s">
        <v>259</v>
      </c>
    </row>
    <row r="10" spans="1:10" x14ac:dyDescent="0.3">
      <c r="A10" s="7">
        <v>7</v>
      </c>
      <c r="B10" s="5" t="s">
        <v>260</v>
      </c>
      <c r="C10" s="7">
        <f t="shared" si="1"/>
        <v>53</v>
      </c>
      <c r="D10" s="7">
        <f t="shared" si="0"/>
        <v>58</v>
      </c>
      <c r="E10" s="7">
        <v>6</v>
      </c>
      <c r="F10" s="5" t="s">
        <v>87</v>
      </c>
      <c r="G10" s="8" t="s">
        <v>65</v>
      </c>
      <c r="H10" s="6" t="s">
        <v>237</v>
      </c>
      <c r="I10" s="6" t="s">
        <v>261</v>
      </c>
      <c r="J10" s="6"/>
    </row>
    <row r="11" spans="1:10" x14ac:dyDescent="0.3">
      <c r="A11" s="7">
        <v>8</v>
      </c>
      <c r="B11" s="5" t="s">
        <v>262</v>
      </c>
      <c r="C11" s="7">
        <f t="shared" si="1"/>
        <v>59</v>
      </c>
      <c r="D11" s="7">
        <f t="shared" si="0"/>
        <v>78</v>
      </c>
      <c r="E11" s="7">
        <v>20</v>
      </c>
      <c r="F11" s="5" t="s">
        <v>241</v>
      </c>
      <c r="G11" s="8" t="s">
        <v>65</v>
      </c>
      <c r="H11" s="6" t="s">
        <v>142</v>
      </c>
      <c r="I11" s="6" t="s">
        <v>242</v>
      </c>
      <c r="J11" s="6"/>
    </row>
    <row r="13" spans="1:10" x14ac:dyDescent="0.3">
      <c r="B13" s="2" t="s">
        <v>78</v>
      </c>
      <c r="E13" s="9">
        <f>SUM(E4:E11)</f>
        <v>78</v>
      </c>
      <c r="F13" s="9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15"/>
  <sheetViews>
    <sheetView zoomScaleNormal="100" workbookViewId="0">
      <pane ySplit="3" topLeftCell="A4" activePane="bottomLeft" state="frozen"/>
      <selection pane="bottomLeft" activeCell="A2" sqref="A2:XFD2"/>
    </sheetView>
  </sheetViews>
  <sheetFormatPr defaultColWidth="8.6640625" defaultRowHeight="14.4" x14ac:dyDescent="0.3"/>
  <cols>
    <col min="1" max="1" width="5" customWidth="1"/>
    <col min="2" max="2" width="34" customWidth="1"/>
    <col min="3" max="4" width="8" customWidth="1"/>
    <col min="5" max="5" width="9" customWidth="1"/>
    <col min="6" max="6" width="14" customWidth="1"/>
    <col min="7" max="7" width="6" customWidth="1"/>
    <col min="8" max="8" width="40" customWidth="1"/>
    <col min="9" max="9" width="72" customWidth="1"/>
    <col min="10" max="10" width="46" customWidth="1"/>
  </cols>
  <sheetData>
    <row r="1" spans="1:10" ht="17.399999999999999" x14ac:dyDescent="0.3">
      <c r="A1" s="1" t="s">
        <v>263</v>
      </c>
    </row>
    <row r="3" spans="1:10" x14ac:dyDescent="0.3">
      <c r="A3" s="4" t="s">
        <v>53</v>
      </c>
      <c r="B3" s="4" t="s">
        <v>54</v>
      </c>
      <c r="C3" s="4" t="s">
        <v>55</v>
      </c>
      <c r="D3" s="4" t="s">
        <v>56</v>
      </c>
      <c r="E3" s="4" t="s">
        <v>57</v>
      </c>
      <c r="F3" s="4" t="s">
        <v>58</v>
      </c>
      <c r="G3" s="4" t="s">
        <v>59</v>
      </c>
      <c r="H3" s="4" t="s">
        <v>60</v>
      </c>
      <c r="I3" s="4" t="s">
        <v>61</v>
      </c>
      <c r="J3" s="4" t="s">
        <v>62</v>
      </c>
    </row>
    <row r="4" spans="1:10" x14ac:dyDescent="0.3">
      <c r="A4" s="7">
        <v>1</v>
      </c>
      <c r="B4" s="5" t="s">
        <v>63</v>
      </c>
      <c r="C4" s="7">
        <v>1</v>
      </c>
      <c r="D4" s="7">
        <f t="shared" ref="D4:D13" si="0">C4+E4-1</f>
        <v>5</v>
      </c>
      <c r="E4" s="7">
        <v>5</v>
      </c>
      <c r="F4" s="5" t="s">
        <v>64</v>
      </c>
      <c r="G4" s="8" t="s">
        <v>65</v>
      </c>
      <c r="H4" s="6" t="s">
        <v>39</v>
      </c>
      <c r="I4" s="6" t="s">
        <v>206</v>
      </c>
      <c r="J4" s="6"/>
    </row>
    <row r="5" spans="1:10" x14ac:dyDescent="0.3">
      <c r="A5" s="7">
        <v>2</v>
      </c>
      <c r="B5" s="5" t="s">
        <v>67</v>
      </c>
      <c r="C5" s="7">
        <f t="shared" ref="C5:C13" si="1">D4+1</f>
        <v>6</v>
      </c>
      <c r="D5" s="7">
        <f t="shared" si="0"/>
        <v>15</v>
      </c>
      <c r="E5" s="7">
        <v>10</v>
      </c>
      <c r="F5" s="5" t="s">
        <v>68</v>
      </c>
      <c r="G5" s="8" t="s">
        <v>65</v>
      </c>
      <c r="H5" s="6" t="s">
        <v>82</v>
      </c>
      <c r="I5" s="6" t="s">
        <v>207</v>
      </c>
      <c r="J5" s="6"/>
    </row>
    <row r="6" spans="1:10" x14ac:dyDescent="0.3">
      <c r="A6" s="7">
        <v>3</v>
      </c>
      <c r="B6" s="5" t="s">
        <v>84</v>
      </c>
      <c r="C6" s="7">
        <f t="shared" si="1"/>
        <v>16</v>
      </c>
      <c r="D6" s="7">
        <f t="shared" si="0"/>
        <v>25</v>
      </c>
      <c r="E6" s="7">
        <v>10</v>
      </c>
      <c r="F6" s="5" t="s">
        <v>68</v>
      </c>
      <c r="G6" s="8" t="s">
        <v>65</v>
      </c>
      <c r="H6" s="6" t="s">
        <v>208</v>
      </c>
      <c r="I6" s="6" t="s">
        <v>209</v>
      </c>
      <c r="J6" s="6"/>
    </row>
    <row r="7" spans="1:10" x14ac:dyDescent="0.3">
      <c r="A7" s="7">
        <v>4</v>
      </c>
      <c r="B7" s="5" t="s">
        <v>264</v>
      </c>
      <c r="C7" s="7">
        <f t="shared" si="1"/>
        <v>26</v>
      </c>
      <c r="D7" s="7">
        <f t="shared" si="0"/>
        <v>31</v>
      </c>
      <c r="E7" s="7">
        <v>6</v>
      </c>
      <c r="F7" s="5" t="s">
        <v>87</v>
      </c>
      <c r="G7" s="8" t="s">
        <v>65</v>
      </c>
      <c r="H7" s="6" t="s">
        <v>265</v>
      </c>
      <c r="I7" s="6" t="s">
        <v>266</v>
      </c>
      <c r="J7" s="6" t="s">
        <v>267</v>
      </c>
    </row>
    <row r="8" spans="1:10" x14ac:dyDescent="0.3">
      <c r="A8" s="7">
        <v>5</v>
      </c>
      <c r="B8" s="5" t="s">
        <v>268</v>
      </c>
      <c r="C8" s="7">
        <f t="shared" si="1"/>
        <v>32</v>
      </c>
      <c r="D8" s="7">
        <f t="shared" si="0"/>
        <v>32</v>
      </c>
      <c r="E8" s="7">
        <v>1</v>
      </c>
      <c r="F8" s="5" t="s">
        <v>119</v>
      </c>
      <c r="G8" s="8" t="s">
        <v>65</v>
      </c>
      <c r="H8" s="6" t="s">
        <v>146</v>
      </c>
      <c r="I8" s="6" t="s">
        <v>269</v>
      </c>
      <c r="J8" s="6"/>
    </row>
    <row r="9" spans="1:10" x14ac:dyDescent="0.3">
      <c r="A9" s="7">
        <v>6</v>
      </c>
      <c r="B9" s="5" t="s">
        <v>270</v>
      </c>
      <c r="C9" s="7">
        <f t="shared" si="1"/>
        <v>33</v>
      </c>
      <c r="D9" s="7">
        <f t="shared" si="0"/>
        <v>52</v>
      </c>
      <c r="E9" s="7">
        <v>20</v>
      </c>
      <c r="F9" s="5" t="s">
        <v>149</v>
      </c>
      <c r="G9" s="8" t="s">
        <v>65</v>
      </c>
      <c r="H9" s="6" t="s">
        <v>142</v>
      </c>
      <c r="I9" s="6" t="s">
        <v>271</v>
      </c>
      <c r="J9" s="6" t="s">
        <v>272</v>
      </c>
    </row>
    <row r="10" spans="1:10" x14ac:dyDescent="0.3">
      <c r="A10" s="7">
        <v>7</v>
      </c>
      <c r="B10" s="5" t="s">
        <v>273</v>
      </c>
      <c r="C10" s="7">
        <f t="shared" si="1"/>
        <v>53</v>
      </c>
      <c r="D10" s="7">
        <f t="shared" si="0"/>
        <v>58</v>
      </c>
      <c r="E10" s="7">
        <v>6</v>
      </c>
      <c r="F10" s="5" t="s">
        <v>87</v>
      </c>
      <c r="G10" s="8" t="s">
        <v>65</v>
      </c>
      <c r="H10" s="6" t="s">
        <v>237</v>
      </c>
      <c r="I10" s="6" t="s">
        <v>274</v>
      </c>
      <c r="J10" s="6"/>
    </row>
    <row r="11" spans="1:10" x14ac:dyDescent="0.3">
      <c r="A11" s="7">
        <v>8</v>
      </c>
      <c r="B11" s="5" t="s">
        <v>275</v>
      </c>
      <c r="C11" s="7">
        <f t="shared" si="1"/>
        <v>59</v>
      </c>
      <c r="D11" s="7">
        <f t="shared" si="0"/>
        <v>78</v>
      </c>
      <c r="E11" s="7">
        <v>20</v>
      </c>
      <c r="F11" s="5" t="s">
        <v>241</v>
      </c>
      <c r="G11" s="8" t="s">
        <v>65</v>
      </c>
      <c r="H11" s="6" t="s">
        <v>142</v>
      </c>
      <c r="I11" s="6" t="s">
        <v>242</v>
      </c>
      <c r="J11" s="6"/>
    </row>
    <row r="12" spans="1:10" x14ac:dyDescent="0.3">
      <c r="A12" s="7">
        <v>9</v>
      </c>
      <c r="B12" s="5" t="s">
        <v>276</v>
      </c>
      <c r="C12" s="7">
        <f t="shared" si="1"/>
        <v>79</v>
      </c>
      <c r="D12" s="7">
        <f t="shared" si="0"/>
        <v>79</v>
      </c>
      <c r="E12" s="7">
        <v>1</v>
      </c>
      <c r="F12" s="5" t="s">
        <v>119</v>
      </c>
      <c r="G12" s="8" t="s">
        <v>65</v>
      </c>
      <c r="H12" s="6" t="s">
        <v>172</v>
      </c>
      <c r="I12" s="6" t="s">
        <v>277</v>
      </c>
      <c r="J12" s="6" t="s">
        <v>278</v>
      </c>
    </row>
    <row r="13" spans="1:10" x14ac:dyDescent="0.3">
      <c r="A13" s="7">
        <v>10</v>
      </c>
      <c r="B13" s="5" t="s">
        <v>279</v>
      </c>
      <c r="C13" s="7">
        <f t="shared" si="1"/>
        <v>80</v>
      </c>
      <c r="D13" s="7">
        <f t="shared" si="0"/>
        <v>89</v>
      </c>
      <c r="E13" s="7">
        <v>10</v>
      </c>
      <c r="F13" s="5" t="s">
        <v>68</v>
      </c>
      <c r="G13" s="7" t="s">
        <v>98</v>
      </c>
      <c r="H13" s="6" t="s">
        <v>99</v>
      </c>
      <c r="I13" s="6" t="s">
        <v>280</v>
      </c>
      <c r="J13" s="6" t="s">
        <v>281</v>
      </c>
    </row>
    <row r="15" spans="1:10" x14ac:dyDescent="0.3">
      <c r="B15" s="2" t="s">
        <v>78</v>
      </c>
      <c r="E15" s="9">
        <f>SUM(E4:E13)</f>
        <v>89</v>
      </c>
      <c r="F15" s="9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12"/>
  <sheetViews>
    <sheetView zoomScaleNormal="100" workbookViewId="0">
      <pane ySplit="3" topLeftCell="A4" activePane="bottomLeft" state="frozen"/>
      <selection pane="bottomLeft" activeCell="F12" sqref="F12"/>
    </sheetView>
  </sheetViews>
  <sheetFormatPr defaultColWidth="8.6640625" defaultRowHeight="14.4" x14ac:dyDescent="0.3"/>
  <cols>
    <col min="1" max="1" width="5" customWidth="1"/>
    <col min="2" max="2" width="34" customWidth="1"/>
    <col min="3" max="4" width="8" customWidth="1"/>
    <col min="5" max="5" width="9" customWidth="1"/>
    <col min="6" max="6" width="14" customWidth="1"/>
    <col min="7" max="7" width="6" customWidth="1"/>
    <col min="8" max="8" width="40" customWidth="1"/>
    <col min="9" max="9" width="72" customWidth="1"/>
    <col min="10" max="10" width="46" customWidth="1"/>
  </cols>
  <sheetData>
    <row r="1" spans="1:10" ht="17.399999999999999" x14ac:dyDescent="0.3">
      <c r="A1" s="1" t="s">
        <v>282</v>
      </c>
    </row>
    <row r="3" spans="1:10" x14ac:dyDescent="0.3">
      <c r="A3" s="4" t="s">
        <v>53</v>
      </c>
      <c r="B3" s="4" t="s">
        <v>54</v>
      </c>
      <c r="C3" s="4" t="s">
        <v>55</v>
      </c>
      <c r="D3" s="4" t="s">
        <v>56</v>
      </c>
      <c r="E3" s="4" t="s">
        <v>57</v>
      </c>
      <c r="F3" s="4" t="s">
        <v>58</v>
      </c>
      <c r="G3" s="4" t="s">
        <v>59</v>
      </c>
      <c r="H3" s="4" t="s">
        <v>60</v>
      </c>
      <c r="I3" s="4" t="s">
        <v>61</v>
      </c>
      <c r="J3" s="4" t="s">
        <v>62</v>
      </c>
    </row>
    <row r="4" spans="1:10" ht="26.4" x14ac:dyDescent="0.3">
      <c r="A4" s="7">
        <v>1</v>
      </c>
      <c r="B4" s="5" t="s">
        <v>63</v>
      </c>
      <c r="C4" s="7">
        <v>1</v>
      </c>
      <c r="D4" s="7">
        <f t="shared" ref="D4:D10" si="0">C4+E4-1</f>
        <v>5</v>
      </c>
      <c r="E4" s="7">
        <v>5</v>
      </c>
      <c r="F4" s="5" t="s">
        <v>64</v>
      </c>
      <c r="G4" s="8" t="s">
        <v>65</v>
      </c>
      <c r="H4" s="6" t="s">
        <v>42</v>
      </c>
      <c r="I4" s="6" t="s">
        <v>283</v>
      </c>
      <c r="J4" s="6"/>
    </row>
    <row r="5" spans="1:10" x14ac:dyDescent="0.3">
      <c r="A5" s="7">
        <v>2</v>
      </c>
      <c r="B5" s="5" t="s">
        <v>67</v>
      </c>
      <c r="C5" s="7">
        <f t="shared" ref="C5:C10" si="1">D4+1</f>
        <v>6</v>
      </c>
      <c r="D5" s="7">
        <f t="shared" si="0"/>
        <v>15</v>
      </c>
      <c r="E5" s="7">
        <v>10</v>
      </c>
      <c r="F5" s="5" t="s">
        <v>68</v>
      </c>
      <c r="G5" s="8" t="s">
        <v>65</v>
      </c>
      <c r="H5" s="6" t="s">
        <v>82</v>
      </c>
      <c r="I5" s="6" t="s">
        <v>207</v>
      </c>
      <c r="J5" s="6"/>
    </row>
    <row r="6" spans="1:10" x14ac:dyDescent="0.3">
      <c r="A6" s="7">
        <v>3</v>
      </c>
      <c r="B6" s="5" t="s">
        <v>84</v>
      </c>
      <c r="C6" s="7">
        <f t="shared" si="1"/>
        <v>16</v>
      </c>
      <c r="D6" s="7">
        <f t="shared" si="0"/>
        <v>25</v>
      </c>
      <c r="E6" s="7">
        <v>10</v>
      </c>
      <c r="F6" s="5" t="s">
        <v>68</v>
      </c>
      <c r="G6" s="8" t="s">
        <v>65</v>
      </c>
      <c r="H6" s="6" t="s">
        <v>208</v>
      </c>
      <c r="I6" s="6" t="s">
        <v>209</v>
      </c>
      <c r="J6" s="6"/>
    </row>
    <row r="7" spans="1:10" x14ac:dyDescent="0.3">
      <c r="A7" s="7">
        <v>4</v>
      </c>
      <c r="B7" s="5" t="s">
        <v>284</v>
      </c>
      <c r="C7" s="7">
        <f t="shared" si="1"/>
        <v>26</v>
      </c>
      <c r="D7" s="7">
        <f t="shared" si="0"/>
        <v>31</v>
      </c>
      <c r="E7" s="7">
        <v>6</v>
      </c>
      <c r="F7" s="5" t="s">
        <v>87</v>
      </c>
      <c r="G7" s="8" t="s">
        <v>65</v>
      </c>
      <c r="H7" s="6" t="s">
        <v>237</v>
      </c>
      <c r="I7" s="6" t="s">
        <v>285</v>
      </c>
      <c r="J7" s="6" t="s">
        <v>286</v>
      </c>
    </row>
    <row r="8" spans="1:10" x14ac:dyDescent="0.3">
      <c r="A8" s="7">
        <v>5</v>
      </c>
      <c r="B8" s="5" t="s">
        <v>287</v>
      </c>
      <c r="C8" s="7">
        <f t="shared" si="1"/>
        <v>32</v>
      </c>
      <c r="D8" s="7">
        <f t="shared" si="0"/>
        <v>51</v>
      </c>
      <c r="E8" s="7">
        <v>20</v>
      </c>
      <c r="F8" s="5" t="s">
        <v>241</v>
      </c>
      <c r="G8" s="8" t="s">
        <v>65</v>
      </c>
      <c r="H8" s="6" t="s">
        <v>142</v>
      </c>
      <c r="I8" s="6" t="s">
        <v>242</v>
      </c>
      <c r="J8" s="6" t="s">
        <v>288</v>
      </c>
    </row>
    <row r="9" spans="1:10" x14ac:dyDescent="0.3">
      <c r="A9" s="7">
        <v>6</v>
      </c>
      <c r="B9" s="5" t="s">
        <v>289</v>
      </c>
      <c r="C9" s="7">
        <f t="shared" si="1"/>
        <v>52</v>
      </c>
      <c r="D9" s="7">
        <f t="shared" si="0"/>
        <v>52</v>
      </c>
      <c r="E9" s="7">
        <v>1</v>
      </c>
      <c r="F9" s="5" t="s">
        <v>119</v>
      </c>
      <c r="G9" s="8" t="s">
        <v>65</v>
      </c>
      <c r="H9" s="6" t="s">
        <v>146</v>
      </c>
      <c r="I9" s="6" t="s">
        <v>290</v>
      </c>
      <c r="J9" s="6"/>
    </row>
    <row r="10" spans="1:10" x14ac:dyDescent="0.3">
      <c r="A10" s="7">
        <v>7</v>
      </c>
      <c r="B10" s="5" t="s">
        <v>291</v>
      </c>
      <c r="C10" s="7">
        <f t="shared" si="1"/>
        <v>53</v>
      </c>
      <c r="D10" s="7">
        <f t="shared" si="0"/>
        <v>72</v>
      </c>
      <c r="E10" s="7">
        <v>20</v>
      </c>
      <c r="F10" s="5" t="s">
        <v>149</v>
      </c>
      <c r="G10" s="8" t="s">
        <v>65</v>
      </c>
      <c r="H10" s="6" t="s">
        <v>142</v>
      </c>
      <c r="I10" s="6" t="s">
        <v>292</v>
      </c>
      <c r="J10" s="6" t="s">
        <v>293</v>
      </c>
    </row>
    <row r="12" spans="1:10" x14ac:dyDescent="0.3">
      <c r="B12" s="2" t="s">
        <v>78</v>
      </c>
      <c r="E12" s="9">
        <f>SUM(E4:E10)</f>
        <v>72</v>
      </c>
      <c r="F12" s="9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10"/>
  <sheetViews>
    <sheetView zoomScaleNormal="100" workbookViewId="0">
      <pane ySplit="4" topLeftCell="A5" activePane="bottomLeft" state="frozen"/>
      <selection pane="bottomLeft" activeCell="A11" sqref="A11:XFD11"/>
    </sheetView>
  </sheetViews>
  <sheetFormatPr defaultColWidth="8.6640625" defaultRowHeight="14.4" x14ac:dyDescent="0.3"/>
  <cols>
    <col min="1" max="1" width="5" customWidth="1"/>
    <col min="2" max="2" width="34" customWidth="1"/>
    <col min="3" max="4" width="8" customWidth="1"/>
    <col min="5" max="5" width="9" customWidth="1"/>
    <col min="6" max="6" width="14" customWidth="1"/>
    <col min="7" max="7" width="6" customWidth="1"/>
    <col min="8" max="8" width="40" customWidth="1"/>
    <col min="9" max="9" width="72" customWidth="1"/>
    <col min="10" max="10" width="46" customWidth="1"/>
  </cols>
  <sheetData>
    <row r="1" spans="1:10" ht="17.399999999999999" x14ac:dyDescent="0.3">
      <c r="A1" s="1" t="s">
        <v>294</v>
      </c>
    </row>
    <row r="2" spans="1:10" ht="27.75" customHeight="1" x14ac:dyDescent="0.3">
      <c r="A2" s="11" t="s">
        <v>295</v>
      </c>
      <c r="B2" s="11"/>
      <c r="C2" s="11"/>
      <c r="D2" s="11"/>
      <c r="E2" s="11"/>
      <c r="F2" s="11"/>
      <c r="G2" s="11"/>
      <c r="H2" s="11"/>
      <c r="I2" s="11"/>
      <c r="J2" s="11"/>
    </row>
    <row r="4" spans="1:10" x14ac:dyDescent="0.3">
      <c r="A4" s="4" t="s">
        <v>53</v>
      </c>
      <c r="B4" s="4" t="s">
        <v>54</v>
      </c>
      <c r="C4" s="4" t="s">
        <v>55</v>
      </c>
      <c r="D4" s="4" t="s">
        <v>56</v>
      </c>
      <c r="E4" s="4" t="s">
        <v>57</v>
      </c>
      <c r="F4" s="4" t="s">
        <v>58</v>
      </c>
      <c r="G4" s="4" t="s">
        <v>59</v>
      </c>
      <c r="H4" s="4" t="s">
        <v>60</v>
      </c>
      <c r="I4" s="4" t="s">
        <v>61</v>
      </c>
      <c r="J4" s="4" t="s">
        <v>62</v>
      </c>
    </row>
    <row r="5" spans="1:10" x14ac:dyDescent="0.3">
      <c r="A5" s="7">
        <v>1</v>
      </c>
      <c r="B5" s="5" t="s">
        <v>63</v>
      </c>
      <c r="C5" s="7">
        <v>1</v>
      </c>
      <c r="D5" s="7">
        <f>C5+E5-1</f>
        <v>5</v>
      </c>
      <c r="E5" s="7">
        <v>5</v>
      </c>
      <c r="F5" s="5" t="s">
        <v>64</v>
      </c>
      <c r="G5" s="8" t="s">
        <v>65</v>
      </c>
      <c r="H5" s="6" t="s">
        <v>45</v>
      </c>
      <c r="I5" s="6" t="s">
        <v>296</v>
      </c>
      <c r="J5" s="6"/>
    </row>
    <row r="6" spans="1:10" x14ac:dyDescent="0.3">
      <c r="A6" s="7">
        <v>2</v>
      </c>
      <c r="B6" s="5" t="s">
        <v>67</v>
      </c>
      <c r="C6" s="7">
        <f>D5+1</f>
        <v>6</v>
      </c>
      <c r="D6" s="7">
        <f>C6+E6-1</f>
        <v>15</v>
      </c>
      <c r="E6" s="7">
        <v>10</v>
      </c>
      <c r="F6" s="5" t="s">
        <v>68</v>
      </c>
      <c r="G6" s="8" t="s">
        <v>65</v>
      </c>
      <c r="H6" s="6" t="s">
        <v>82</v>
      </c>
      <c r="I6" s="6" t="s">
        <v>207</v>
      </c>
      <c r="J6" s="6"/>
    </row>
    <row r="7" spans="1:10" x14ac:dyDescent="0.3">
      <c r="A7" s="7">
        <v>3</v>
      </c>
      <c r="B7" s="5" t="s">
        <v>84</v>
      </c>
      <c r="C7" s="7">
        <f>D6+1</f>
        <v>16</v>
      </c>
      <c r="D7" s="7">
        <f>C7+E7-1</f>
        <v>25</v>
      </c>
      <c r="E7" s="7">
        <v>10</v>
      </c>
      <c r="F7" s="5" t="s">
        <v>68</v>
      </c>
      <c r="G7" s="8" t="s">
        <v>65</v>
      </c>
      <c r="H7" s="6" t="s">
        <v>208</v>
      </c>
      <c r="I7" s="6" t="s">
        <v>297</v>
      </c>
      <c r="J7" s="6"/>
    </row>
    <row r="8" spans="1:10" ht="26.4" x14ac:dyDescent="0.3">
      <c r="A8" s="7">
        <v>4</v>
      </c>
      <c r="B8" s="5" t="s">
        <v>298</v>
      </c>
      <c r="C8" s="7">
        <f>D7+1</f>
        <v>26</v>
      </c>
      <c r="D8" s="7">
        <f>C8+E8-1</f>
        <v>31</v>
      </c>
      <c r="E8" s="7">
        <v>6</v>
      </c>
      <c r="F8" s="5" t="s">
        <v>299</v>
      </c>
      <c r="G8" s="8" t="s">
        <v>65</v>
      </c>
      <c r="H8" s="6" t="s">
        <v>99</v>
      </c>
      <c r="I8" s="6" t="s">
        <v>300</v>
      </c>
      <c r="J8" s="6"/>
    </row>
    <row r="10" spans="1:10" x14ac:dyDescent="0.3">
      <c r="B10" s="2" t="s">
        <v>78</v>
      </c>
      <c r="E10" s="9">
        <f>SUM(E5:E8)</f>
        <v>31</v>
      </c>
      <c r="F10" s="9"/>
    </row>
  </sheetData>
  <mergeCells count="1">
    <mergeCell ref="A2:J2"/>
  </mergeCell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8"/>
  <sheetViews>
    <sheetView zoomScaleNormal="100" workbookViewId="0">
      <pane ySplit="3" topLeftCell="A4" activePane="bottomLeft" state="frozen"/>
      <selection pane="bottomLeft" activeCell="A9" sqref="A9:XFD9"/>
    </sheetView>
  </sheetViews>
  <sheetFormatPr defaultColWidth="8.6640625" defaultRowHeight="14.4" x14ac:dyDescent="0.3"/>
  <cols>
    <col min="1" max="1" width="5" customWidth="1"/>
    <col min="2" max="2" width="34" customWidth="1"/>
    <col min="3" max="4" width="8" customWidth="1"/>
    <col min="5" max="5" width="9" customWidth="1"/>
    <col min="6" max="6" width="14" customWidth="1"/>
    <col min="7" max="7" width="6" customWidth="1"/>
    <col min="8" max="8" width="40" customWidth="1"/>
    <col min="9" max="9" width="72" customWidth="1"/>
    <col min="10" max="10" width="46" customWidth="1"/>
  </cols>
  <sheetData>
    <row r="1" spans="1:10" ht="17.399999999999999" x14ac:dyDescent="0.3">
      <c r="A1" s="1" t="s">
        <v>301</v>
      </c>
    </row>
    <row r="3" spans="1:10" x14ac:dyDescent="0.3">
      <c r="A3" s="4" t="s">
        <v>53</v>
      </c>
      <c r="B3" s="4" t="s">
        <v>54</v>
      </c>
      <c r="C3" s="4" t="s">
        <v>55</v>
      </c>
      <c r="D3" s="4" t="s">
        <v>56</v>
      </c>
      <c r="E3" s="4" t="s">
        <v>57</v>
      </c>
      <c r="F3" s="4" t="s">
        <v>58</v>
      </c>
      <c r="G3" s="4" t="s">
        <v>59</v>
      </c>
      <c r="H3" s="4" t="s">
        <v>60</v>
      </c>
      <c r="I3" s="4" t="s">
        <v>61</v>
      </c>
      <c r="J3" s="4" t="s">
        <v>62</v>
      </c>
    </row>
    <row r="4" spans="1:10" x14ac:dyDescent="0.3">
      <c r="A4" s="7">
        <v>1</v>
      </c>
      <c r="B4" s="5" t="s">
        <v>63</v>
      </c>
      <c r="C4" s="7">
        <v>1</v>
      </c>
      <c r="D4" s="7">
        <f>C4+E4-1</f>
        <v>5</v>
      </c>
      <c r="E4" s="7">
        <v>5</v>
      </c>
      <c r="F4" s="5" t="s">
        <v>64</v>
      </c>
      <c r="G4" s="8" t="s">
        <v>65</v>
      </c>
      <c r="H4" s="6" t="s">
        <v>7</v>
      </c>
      <c r="I4" s="6" t="s">
        <v>302</v>
      </c>
      <c r="J4" s="6"/>
    </row>
    <row r="5" spans="1:10" x14ac:dyDescent="0.3">
      <c r="A5" s="7">
        <v>2</v>
      </c>
      <c r="B5" s="5" t="s">
        <v>67</v>
      </c>
      <c r="C5" s="7">
        <f>D4+1</f>
        <v>6</v>
      </c>
      <c r="D5" s="7">
        <f>C5+E5-1</f>
        <v>15</v>
      </c>
      <c r="E5" s="7">
        <v>10</v>
      </c>
      <c r="F5" s="5" t="s">
        <v>68</v>
      </c>
      <c r="G5" s="8" t="s">
        <v>65</v>
      </c>
      <c r="H5" s="6" t="s">
        <v>82</v>
      </c>
      <c r="I5" s="6" t="s">
        <v>207</v>
      </c>
      <c r="J5" s="6"/>
    </row>
    <row r="6" spans="1:10" ht="26.4" x14ac:dyDescent="0.3">
      <c r="A6" s="7">
        <v>3</v>
      </c>
      <c r="B6" s="5" t="s">
        <v>303</v>
      </c>
      <c r="C6" s="7">
        <f>D5+1</f>
        <v>16</v>
      </c>
      <c r="D6" s="7">
        <f>C6+E6-1</f>
        <v>25</v>
      </c>
      <c r="E6" s="7">
        <v>10</v>
      </c>
      <c r="F6" s="5" t="s">
        <v>68</v>
      </c>
      <c r="G6" s="8" t="s">
        <v>65</v>
      </c>
      <c r="H6" s="6" t="s">
        <v>99</v>
      </c>
      <c r="I6" s="6" t="s">
        <v>304</v>
      </c>
      <c r="J6" s="6"/>
    </row>
    <row r="8" spans="1:10" x14ac:dyDescent="0.3">
      <c r="B8" s="2" t="s">
        <v>78</v>
      </c>
      <c r="E8" s="9">
        <f>SUM(E4:E6)</f>
        <v>25</v>
      </c>
      <c r="F8" s="9"/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Read Me</vt:lpstr>
      <vt:lpstr>Record Summary</vt:lpstr>
      <vt:lpstr>FHEAD</vt:lpstr>
      <vt:lpstr>THEAD</vt:lpstr>
      <vt:lpstr>TDETL</vt:lpstr>
      <vt:lpstr>TALLW(Not required)</vt:lpstr>
      <vt:lpstr>TNMRC</vt:lpstr>
      <vt:lpstr>TVATS</vt:lpstr>
      <vt:lpstr>TTAIL</vt:lpstr>
      <vt:lpstr>FTAIL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Jayjit Banerjee (Partner)</cp:lastModifiedBy>
  <cp:revision>0</cp:revision>
  <dcterms:created xsi:type="dcterms:W3CDTF">2026-09-09T11:52:19Z</dcterms:created>
  <dcterms:modified xsi:type="dcterms:W3CDTF">2026-09-09T19:43:25Z</dcterms:modified>
  <dc:language>en-US</dc:language>
</cp:coreProperties>
</file>